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3" yWindow="-103" windowWidth="22149" windowHeight="1320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<sst xmlns="http://schemas.openxmlformats.org/spreadsheetml/2006/main" count="90" uniqueCount="53">
  <si>
    <t>THIEN PHU MUT CO.,LTD</t>
  </si>
  <si>
    <t>THÁNG 10/2025</t>
  </si>
  <si>
    <t>PHIẾU LƯƠNG</t>
  </si>
  <si>
    <t>Họ và Tên</t>
  </si>
  <si>
    <t>Đoàn Văn B</t>
  </si>
  <si>
    <t>Mã NV</t>
  </si>
  <si>
    <t>01117</t>
  </si>
  <si>
    <t>Bộ phận</t>
  </si>
  <si>
    <t>Nhân sự</t>
  </si>
  <si>
    <t>Ngày vào làm</t>
  </si>
  <si>
    <t>1/8/25</t>
  </si>
  <si>
    <t>Lương cơ bản</t>
  </si>
  <si>
    <t>VND</t>
  </si>
  <si>
    <t>Số tài khoản</t>
  </si>
  <si>
    <t>6539434276</t>
  </si>
  <si>
    <t>Tổng lương theo HĐLĐ</t>
  </si>
  <si>
    <t>CÁC KHOẢN THU NHẬP:(A)</t>
  </si>
  <si>
    <t>24</t>
  </si>
  <si>
    <t>Phụ cấp trách nhiệm</t>
  </si>
  <si>
    <t>Phụ cấp độc hại</t>
  </si>
  <si>
    <t xml:space="preserve">Ngày công Nghỉ phép tang /kết hôn/TNLĐ </t>
  </si>
  <si>
    <t>Phụ cấp thâm niên</t>
  </si>
  <si>
    <t>Tăng ca ngày thường 150%</t>
  </si>
  <si>
    <t>1.5</t>
  </si>
  <si>
    <t>Trợ cấp xăng xe</t>
  </si>
  <si>
    <t>Tăng ca ngày thường 200%</t>
  </si>
  <si>
    <t>Trợ cấp nhà ở</t>
  </si>
  <si>
    <t>Tăng ca ngày thường 300%</t>
  </si>
  <si>
    <t>Trợ cấp điện thoại</t>
  </si>
  <si>
    <t>Trợ cấp đội trưởng/ đội phó PCCC</t>
  </si>
  <si>
    <t>Trợ cấp sinh hoạt</t>
  </si>
  <si>
    <t>Thưởng sáng kiến</t>
  </si>
  <si>
    <t>Trợ cấp nuôi con nhỏ dưới 6 tuổi</t>
  </si>
  <si>
    <t>Hỗ trợ đám hiếu/ hỷ</t>
  </si>
  <si>
    <t>Trợ cấp cho NV nữ</t>
  </si>
  <si>
    <t>Số ngày phép năm đã sử dụng</t>
  </si>
  <si>
    <t>Trợ cấp ban ATVSV</t>
  </si>
  <si>
    <t>Số ngày phép năm còn lại</t>
  </si>
  <si>
    <t>Trợ cấp tiền cơm</t>
  </si>
  <si>
    <t>Thưởng tháng 13</t>
  </si>
  <si>
    <t>Trợ cấp ca đêm</t>
  </si>
  <si>
    <t xml:space="preserve">Tổng Cộng lương </t>
  </si>
  <si>
    <t>Khấu Trừ :( B)</t>
  </si>
  <si>
    <t>Bảo hiểm</t>
  </si>
  <si>
    <t>Nghỉ trước thời hạn giấy phép</t>
  </si>
  <si>
    <t>Công đoàn</t>
  </si>
  <si>
    <t>Nghỉ ngang</t>
  </si>
  <si>
    <t xml:space="preserve">Thuế TNCN </t>
  </si>
  <si>
    <t>Truy thu BHYT</t>
  </si>
  <si>
    <t>Tạm ứng</t>
  </si>
  <si>
    <t xml:space="preserve">Tổng các khoản  khẩu trừ </t>
  </si>
  <si>
    <t>Thực Lãnh:(C)=(A)-(B)</t>
  </si>
  <si>
    <t xml:space="preserve">Cảm ơn vì sự nỗ lực làm của Bạn trong thời gian qua 
Lưu ý : Thông tin lương là thông tin liên quan đến cá nhân và bảo mật , đề nghị không chia sẽ , cung cấp cho người khác. 
Mọi thắc mắc vui lòng liên hệ với Phòng Nhân sự hoặc Tổ Trưởng / Quản lý của Bạn. Các thông tin điều chỉnh , nếu có sẽ được thực hiện trong kỳ lương kế tiếp (tháng sau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</si>
</sst>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(* #,##0_);_(* (#,##0);_(* &quot;-&quot;??_);_(@_)"/>
    <numFmt numFmtId="165" formatCode="_(* #,##0.00_);_(* (#,##0.00);_(* &quot;-&quot;??_);_(@_)"/>
    <numFmt numFmtId="166" formatCode="#,##0.0&quot; ngày&quot;"/>
    <numFmt numFmtId="167" formatCode="#,##0.0&quot; giờ&quot;"/>
  </numFmts>
  <fonts count="14" x14ac:knownFonts="1">
    <font>
      <color theme="1"/>
      <family val="2"/>
      <scheme val="minor"/>
      <sz val="11"/>
      <name val="Calibri"/>
    </font>
    <font>
      <family val="1"/>
      <sz val="11"/>
      <name val="Times New Roman"/>
    </font>
    <font>
      <b/>
      <i/>
      <color theme="1"/>
      <family val="1"/>
      <sz val="11"/>
      <name val="Times New Roman"/>
    </font>
    <font>
      <b/>
      <color theme="1"/>
      <family val="1"/>
      <sz val="24"/>
      <name val="Times New Roman"/>
    </font>
    <font>
      <b/>
      <color theme="1"/>
      <family val="1"/>
      <sz val="18"/>
      <name val="Times New Roman"/>
    </font>
    <font>
      <b/>
      <family val="1"/>
      <sz val="18"/>
      <name val="Times New Roman"/>
    </font>
    <font>
      <color theme="1"/>
      <family val="1"/>
      <sz val="18"/>
      <name val="Times New Roman"/>
    </font>
    <font>
      <family val="1"/>
      <sz val="18"/>
      <name val="Times New Roman"/>
    </font>
    <font>
      <i/>
      <family val="1"/>
      <sz val="16"/>
      <name val="Times New Roman"/>
    </font>
    <font>
      <color theme="1"/>
      <family val="1"/>
      <sz val="14"/>
      <name val="Times New Roman"/>
    </font>
    <font>
      <b/>
      <i/>
      <color theme="1"/>
      <family val="1"/>
      <sz val="16"/>
      <name val="Times New Roman"/>
    </font>
    <font>
      <b/>
      <color theme="1"/>
      <family val="1"/>
      <sz val="16"/>
      <name val="Times New Roman"/>
    </font>
    <font>
      <color theme="1"/>
      <family val="1"/>
      <sz val="16"/>
      <name val="Times New Roman"/>
    </font>
    <font>
      <b/>
      <color indexed="8"/>
      <family val="1"/>
      <sz val="18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/>
      <top style="thin"/>
      <bottom style="thin"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/>
    <xf numFmtId="0" fontId="1" fillId="2" borderId="0" xfId="0" applyFont="1" applyFill="1"/>
    <xf numFmtId="164" fontId="1" fillId="2" borderId="0" xfId="0" applyNumberFormat="1" applyFont="1" applyFill="1"/>
    <xf numFmtId="0" fontId="2" fillId="0" borderId="0" xfId="0" applyFont="1" applyAlignment="1">
      <alignment horizontal="center"/>
    </xf>
    <xf numFmtId="165" fontId="3" fillId="2" borderId="1" xfId="0" applyNumberFormat="1" applyFont="1" applyFill="1" applyBorder="1" applyAlignment="1">
      <alignment horizontal="center"/>
    </xf>
    <xf numFmtId="165" fontId="3" fillId="2" borderId="2" xfId="0" applyNumberFormat="1" applyFont="1" applyFill="1" applyBorder="1" applyAlignment="1">
      <alignment horizontal="center"/>
    </xf>
    <xf numFmtId="165" fontId="3" fillId="2" borderId="3" xfId="0" applyNumberFormat="1" applyFont="1" applyFill="1" applyBorder="1" applyAlignment="1">
      <alignment horizontal="center"/>
    </xf>
    <xf numFmtId="165" fontId="1" fillId="0" borderId="0" xfId="0" applyNumberFormat="1" applyFont="1"/>
    <xf numFmtId="165" fontId="3" fillId="2" borderId="4" xfId="0" applyNumberFormat="1" applyFont="1" applyFill="1" applyBorder="1" applyAlignment="1">
      <alignment horizontal="center" vertical="center"/>
    </xf>
    <xf numFmtId="165" fontId="3" fillId="2" borderId="0" xfId="0" applyNumberFormat="1" applyFont="1" applyFill="1" applyAlignment="1">
      <alignment horizontal="center" vertical="center"/>
    </xf>
    <xf numFmtId="165" fontId="3" fillId="2" borderId="5" xfId="0" applyNumberFormat="1" applyFont="1" applyFill="1" applyBorder="1" applyAlignment="1">
      <alignment horizontal="center" vertical="center"/>
    </xf>
    <xf numFmtId="165" fontId="4" fillId="2" borderId="4" xfId="0" applyNumberFormat="1" applyFont="1" applyFill="1" applyBorder="1" applyAlignment="1">
      <alignment horizontal="center"/>
    </xf>
    <xf numFmtId="165" fontId="4" fillId="2" borderId="0" xfId="0" applyNumberFormat="1" applyFont="1" applyFill="1" applyAlignment="1">
      <alignment horizontal="center"/>
    </xf>
    <xf numFmtId="165" fontId="4" fillId="2" borderId="5" xfId="0" applyNumberFormat="1" applyFont="1" applyFill="1" applyBorder="1" applyAlignment="1">
      <alignment horizontal="center"/>
    </xf>
    <xf numFmtId="0" fontId="5" fillId="2" borderId="6" xfId="0" applyFont="1" applyFill="1" applyBorder="1" applyAlignment="1">
      <alignment horizontal="left" vertical="center" shrinkToFit="1"/>
    </xf>
    <xf numFmtId="0" fontId="5" fillId="2" borderId="7" xfId="0" applyFont="1" applyFill="1" applyBorder="1" applyAlignment="1">
      <alignment horizontal="center" vertical="center" shrinkToFit="1"/>
    </xf>
    <xf numFmtId="0" fontId="5" fillId="2" borderId="8" xfId="0" applyFont="1" applyFill="1" applyBorder="1" applyAlignment="1">
      <alignment horizontal="center" vertical="center" shrinkToFit="1"/>
    </xf>
    <xf numFmtId="0" fontId="5" fillId="2" borderId="9" xfId="0" applyFont="1" applyFill="1" applyBorder="1" applyAlignment="1">
      <alignment horizontal="center" vertical="center" shrinkToFit="1"/>
    </xf>
    <xf numFmtId="0" fontId="6" fillId="2" borderId="7" xfId="0" applyFont="1" applyFill="1" applyBorder="1" applyAlignment="1">
      <alignment horizontal="left" vertical="center" shrinkToFit="1"/>
    </xf>
    <xf numFmtId="0" fontId="6" fillId="2" borderId="9" xfId="0" applyFont="1" applyFill="1" applyBorder="1" applyAlignment="1">
      <alignment horizontal="left" vertical="center" shrinkToFit="1"/>
    </xf>
    <xf numFmtId="0" fontId="6" fillId="2" borderId="6" xfId="0" applyFont="1" applyFill="1" applyBorder="1" applyAlignment="1">
      <alignment horizontal="left" vertical="center" shrinkToFit="1"/>
    </xf>
    <xf numFmtId="0" fontId="6" fillId="2" borderId="10" xfId="0" applyFont="1" applyFill="1" applyBorder="1" applyAlignment="1">
      <alignment horizontal="left" vertical="center" shrinkToFit="1"/>
    </xf>
    <xf numFmtId="0" fontId="6" fillId="2" borderId="10" xfId="0" applyFont="1" applyFill="1" applyBorder="1" applyAlignment="1">
      <alignment vertical="center" shrinkToFit="1"/>
    </xf>
    <xf numFmtId="164" fontId="5" fillId="2" borderId="11" xfId="0" applyNumberFormat="1" applyFont="1" applyFill="1" applyBorder="1" applyAlignment="1">
      <alignment horizontal="center" vertical="center" shrinkToFit="1"/>
    </xf>
    <xf numFmtId="14" fontId="5" fillId="2" borderId="7" xfId="0" applyNumberFormat="1" applyFont="1" applyFill="1" applyBorder="1" applyAlignment="1">
      <alignment horizontal="center" vertical="center" shrinkToFit="1"/>
    </xf>
    <xf numFmtId="164" fontId="5" fillId="2" borderId="10" xfId="0" applyNumberFormat="1" applyFont="1" applyFill="1" applyBorder="1" applyAlignment="1">
      <alignment horizontal="center" vertical="center" shrinkToFit="1"/>
    </xf>
    <xf numFmtId="0" fontId="6" fillId="2" borderId="6" xfId="0" applyFont="1" applyFill="1" applyBorder="1" applyAlignment="1">
      <alignment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13" xfId="0" applyFont="1" applyBorder="1" applyAlignment="1">
      <alignment horizontal="center" vertical="center" shrinkToFit="1"/>
    </xf>
    <xf numFmtId="0" fontId="4" fillId="0" borderId="14" xfId="0" applyFont="1" applyBorder="1" applyAlignment="1">
      <alignment horizontal="center" vertical="center" shrinkToFit="1"/>
    </xf>
    <xf numFmtId="0" fontId="6" fillId="0" borderId="15" xfId="0" applyFont="1" applyBorder="1" applyAlignment="1">
      <alignment horizontal="left" vertical="center" shrinkToFit="1"/>
    </xf>
    <xf numFmtId="0" fontId="6" fillId="0" borderId="9" xfId="0" applyFont="1" applyBorder="1" applyAlignment="1">
      <alignment horizontal="left" vertical="center" shrinkToFit="1"/>
    </xf>
    <xf numFmtId="166" fontId="7" fillId="2" borderId="7" xfId="0" applyNumberFormat="1" applyFont="1" applyFill="1" applyBorder="1" applyAlignment="1">
      <alignment horizontal="center" shrinkToFit="1"/>
    </xf>
    <xf numFmtId="164" fontId="8" fillId="2" borderId="10" xfId="0" applyNumberFormat="1" applyFont="1" applyFill="1" applyBorder="1" applyAlignment="1">
      <alignment shrinkToFit="1"/>
    </xf>
    <xf numFmtId="0" fontId="7" fillId="2" borderId="10" xfId="0" applyFont="1" applyFill="1" applyBorder="1" applyAlignment="1">
      <alignment horizontal="center" vertical="center" shrinkToFit="1"/>
    </xf>
    <xf numFmtId="0" fontId="6" fillId="0" borderId="10" xfId="0" applyFont="1" applyBorder="1" applyAlignment="1">
      <alignment horizontal="left" vertical="center" shrinkToFit="1"/>
    </xf>
    <xf numFmtId="0" fontId="7" fillId="2" borderId="11" xfId="0" applyFont="1" applyFill="1" applyBorder="1" applyAlignment="1">
      <alignment horizontal="center" vertical="center" shrinkToFit="1"/>
    </xf>
    <xf numFmtId="0" fontId="9" fillId="0" borderId="15" xfId="0" applyFont="1" applyBorder="1" applyAlignment="1">
      <alignment horizontal="left" vertical="center" shrinkToFit="1"/>
    </xf>
    <xf numFmtId="0" fontId="9" fillId="0" borderId="9" xfId="0" applyFont="1" applyBorder="1" applyAlignment="1">
      <alignment horizontal="left" vertical="center" shrinkToFit="1"/>
    </xf>
    <xf numFmtId="0" fontId="6" fillId="2" borderId="15" xfId="0" applyFont="1" applyFill="1" applyBorder="1" applyAlignment="1">
      <alignment horizontal="left" vertical="center" shrinkToFit="1"/>
    </xf>
    <xf numFmtId="0" fontId="6" fillId="0" borderId="15" xfId="0" applyFont="1" applyBorder="1" applyAlignment="1">
      <alignment vertical="center" shrinkToFit="1"/>
    </xf>
    <xf numFmtId="167" fontId="7" fillId="2" borderId="7" xfId="0" applyNumberFormat="1" applyFont="1" applyFill="1" applyBorder="1" applyAlignment="1">
      <alignment horizont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164" fontId="10" fillId="0" borderId="10" xfId="0" applyNumberFormat="1" applyFont="1" applyBorder="1" applyAlignment="1">
      <alignment vertical="center" shrinkToFit="1"/>
    </xf>
    <xf numFmtId="0" fontId="5" fillId="2" borderId="10" xfId="0" applyFont="1" applyFill="1" applyBorder="1" applyAlignment="1">
      <alignment horizontal="center" vertical="center" shrinkToFit="1"/>
    </xf>
    <xf numFmtId="0" fontId="6" fillId="2" borderId="11" xfId="0" applyFont="1" applyFill="1" applyBorder="1" applyAlignment="1">
      <alignment vertical="center" shrinkToFit="1"/>
    </xf>
    <xf numFmtId="0" fontId="4" fillId="0" borderId="16" xfId="0" applyFont="1" applyBorder="1" applyAlignment="1">
      <alignment horizontal="center" vertical="center" shrinkToFit="1"/>
    </xf>
    <xf numFmtId="0" fontId="4" fillId="0" borderId="17" xfId="0" applyFont="1" applyBorder="1" applyAlignment="1">
      <alignment horizontal="center" vertical="center" shrinkToFit="1"/>
    </xf>
    <xf numFmtId="0" fontId="6" fillId="0" borderId="10" xfId="0" applyFont="1" applyBorder="1" applyAlignment="1">
      <alignment vertical="center" shrinkToFit="1"/>
    </xf>
    <xf numFmtId="164" fontId="8" fillId="2" borderId="7" xfId="0" applyNumberFormat="1" applyFont="1" applyFill="1" applyBorder="1" applyAlignment="1">
      <alignment shrinkToFit="1"/>
    </xf>
    <xf numFmtId="0" fontId="11" fillId="0" borderId="6" xfId="0" applyFont="1" applyBorder="1" applyAlignment="1">
      <alignment horizontal="center" vertical="center" shrinkToFit="1"/>
    </xf>
    <xf numFmtId="0" fontId="11" fillId="0" borderId="10" xfId="0" applyFont="1" applyBorder="1" applyAlignment="1">
      <alignment horizontal="center" vertical="center" shrinkToFit="1"/>
    </xf>
    <xf numFmtId="164" fontId="10" fillId="0" borderId="8" xfId="0" applyNumberFormat="1" applyFont="1" applyBorder="1" applyAlignment="1">
      <alignment vertical="center" shrinkToFit="1"/>
    </xf>
    <xf numFmtId="0" fontId="12" fillId="2" borderId="10" xfId="0" applyFont="1" applyFill="1" applyBorder="1" applyAlignment="1">
      <alignment vertical="center" shrinkToFit="1"/>
    </xf>
    <xf numFmtId="0" fontId="12" fillId="2" borderId="11" xfId="0" applyFont="1" applyFill="1" applyBorder="1" applyAlignment="1">
      <alignment vertical="center" shrinkToFit="1"/>
    </xf>
    <xf numFmtId="164" fontId="10" fillId="0" borderId="18" xfId="0" applyNumberFormat="1" applyFont="1" applyBorder="1" applyAlignment="1">
      <alignment vertical="center" shrinkToFit="1"/>
    </xf>
    <xf numFmtId="0" fontId="5" fillId="2" borderId="18" xfId="0" applyFont="1" applyFill="1" applyBorder="1" applyAlignment="1">
      <alignment horizontal="center" vertical="center" shrinkToFit="1"/>
    </xf>
    <xf numFmtId="0" fontId="13" fillId="0" borderId="12" xfId="0" applyFont="1" applyBorder="1" applyAlignment="1">
      <alignment horizontal="center" vertical="center" wrapText="1" shrinkToFit="1"/>
    </xf>
    <xf numFmtId="0" fontId="4" fillId="0" borderId="4" xfId="0" applyFont="1" applyBorder="1" applyAlignment="1">
      <alignment horizontal="center" vertical="center" shrinkToFit="1"/>
    </xf>
    <xf numFmtId="0" fontId="4" fillId="0" borderId="0" xfId="0" applyFont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4" fillId="0" borderId="19" xfId="0" applyFont="1" applyBorder="1" applyAlignment="1">
      <alignment horizontal="center" vertical="center" shrinkToFit="1"/>
    </xf>
    <xf numFmtId="0" fontId="4" fillId="0" borderId="20" xfId="0" applyFont="1" applyBorder="1" applyAlignment="1">
      <alignment horizontal="center" vertical="center" shrinkToFit="1"/>
    </xf>
    <xf numFmtId="0" fontId="4" fillId="0" borderId="21" xfId="0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161925</xdr:colOff>
      <xdr:row>0</xdr:row>
      <xdr:rowOff>185684</xdr:rowOff>
    </xdr:from>
    <xdr:to>
      <xdr:col>2</xdr:col>
      <xdr:colOff>1</xdr:colOff>
      <xdr:row>3</xdr:row>
      <xdr:rowOff>66675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workbookViewId="0" zoomScale="100" zoomScaleNormal="100">
      <selection activeCell="J2" sqref="J2"/>
    </sheetView>
  </sheetViews>
  <sheetFormatPr defaultRowHeight="21" outlineLevelRow="0" outlineLevelCol="0" x14ac:dyDescent="0.35" defaultColWidth="8" customHeight="1"/>
  <cols>
    <col min="1" max="1" width="1.2109375" style="1" customWidth="1"/>
    <col min="2" max="2" width="19.2109375" style="1" customWidth="1"/>
    <col min="3" max="3" width="18.7109375" style="2" customWidth="1"/>
    <col min="4" max="5" width="15.85546875" style="2" customWidth="1"/>
    <col min="6" max="6" width="8.140625" style="3" customWidth="1"/>
    <col min="7" max="7" width="42.7109375" style="2" customWidth="1"/>
    <col min="8" max="8" width="17.35546875" style="2" customWidth="1"/>
    <col min="9" max="9" width="13.85546875" style="2" customWidth="1"/>
    <col min="10" max="10" width="8" style="1" customWidth="1"/>
    <col min="11" max="11" width="8.5" style="1" customWidth="1"/>
    <col min="12" max="16384" width="8" style="1" customWidth="1"/>
  </cols>
  <sheetData>
    <row r="1" ht="29.6" customHeight="1" spans="1:13" x14ac:dyDescent="0.25">
      <c r="A1" s="4"/>
      <c r="B1" s="5" t="s">
        <v>0</v>
      </c>
      <c r="C1" s="6"/>
      <c r="D1" s="6"/>
      <c r="E1" s="6"/>
      <c r="F1" s="6"/>
      <c r="G1" s="6"/>
      <c r="H1" s="6"/>
      <c r="I1" s="7"/>
      <c r="M1" s="8" t="s">
        <v>1</v>
      </c>
    </row>
    <row r="2" ht="29.6" customHeight="1" spans="1:9" x14ac:dyDescent="0.25">
      <c r="A2" s="4"/>
      <c r="B2" s="9" t="s">
        <v>2</v>
      </c>
      <c r="C2" s="10"/>
      <c r="D2" s="10"/>
      <c r="E2" s="10"/>
      <c r="F2" s="10"/>
      <c r="G2" s="10"/>
      <c r="H2" s="10"/>
      <c r="I2" s="11"/>
    </row>
    <row r="3" ht="22.3" customHeight="1" spans="1:9" x14ac:dyDescent="0.25">
      <c r="A3" s="4"/>
      <c r="B3" s="12" t="str">
        <f>M1</f>
        <v>THÁNG 10/2025</v>
      </c>
      <c r="C3" s="13"/>
      <c r="D3" s="13"/>
      <c r="E3" s="13"/>
      <c r="F3" s="13"/>
      <c r="G3" s="13"/>
      <c r="H3" s="13"/>
      <c r="I3" s="14"/>
    </row>
    <row r="4" ht="29.6" customHeight="1" spans="1:9" x14ac:dyDescent="0.25">
      <c r="A4" s="4"/>
      <c r="B4" s="9"/>
      <c r="C4" s="10"/>
      <c r="D4" s="10"/>
      <c r="E4" s="10"/>
      <c r="F4" s="10"/>
      <c r="G4" s="10"/>
      <c r="H4" s="10"/>
      <c r="I4" s="11"/>
    </row>
    <row r="5" ht="22.75" customHeight="1" spans="2:9" x14ac:dyDescent="0.25">
      <c r="B5" s="15" t="s">
        <v>3</v>
      </c>
      <c r="C5" s="16" t="s">
        <v>4</v>
      </c>
      <c r="D5" s="17"/>
      <c r="E5" s="18"/>
      <c r="F5" s="19" t="s">
        <v>5</v>
      </c>
      <c r="G5" s="20"/>
      <c r="H5" s="19" t="s">
        <v>6</v>
      </c>
      <c r="I5" s="20"/>
    </row>
    <row r="6" ht="22.75" customHeight="1" spans="2:9" x14ac:dyDescent="0.25">
      <c r="B6" s="21" t="s">
        <v>7</v>
      </c>
      <c r="C6" s="16" t="s">
        <v>8</v>
      </c>
      <c r="D6" s="17"/>
      <c r="E6" s="18"/>
      <c r="F6" s="22"/>
      <c r="G6" s="22"/>
      <c r="H6" s="23"/>
      <c r="I6" s="24"/>
    </row>
    <row r="7" ht="22.75" customHeight="1" spans="2:9" x14ac:dyDescent="0.25">
      <c r="B7" s="21" t="s">
        <v>9</v>
      </c>
      <c r="C7" s="25" t="s">
        <v>10</v>
      </c>
      <c r="D7" s="17"/>
      <c r="E7" s="18"/>
      <c r="F7" s="19" t="s">
        <v>11</v>
      </c>
      <c r="G7" s="20"/>
      <c r="H7" s="26">
        <v>9000000</v>
      </c>
      <c r="I7" s="24" t="s">
        <v>12</v>
      </c>
    </row>
    <row r="8" ht="22.75" customHeight="1" spans="2:9" x14ac:dyDescent="0.25">
      <c r="B8" s="27" t="s">
        <v>13</v>
      </c>
      <c r="C8" s="16" t="s">
        <v>14</v>
      </c>
      <c r="D8" s="17"/>
      <c r="E8" s="18"/>
      <c r="F8" s="19" t="s">
        <v>15</v>
      </c>
      <c r="G8" s="20"/>
      <c r="H8" s="26">
        <v>11500000</v>
      </c>
      <c r="I8" s="24" t="s">
        <v>12</v>
      </c>
    </row>
    <row r="9" ht="22.3" customHeight="1" spans="2:9" x14ac:dyDescent="0.25">
      <c r="B9" s="28" t="s">
        <v>16</v>
      </c>
      <c r="C9" s="29"/>
      <c r="D9" s="29"/>
      <c r="E9" s="29"/>
      <c r="F9" s="29"/>
      <c r="G9" s="29"/>
      <c r="H9" s="29"/>
      <c r="I9" s="30"/>
    </row>
    <row r="10" ht="22.75" customHeight="1" spans="2:9" x14ac:dyDescent="0.25">
      <c r="B10" s="31" t="str">
        <f>'[1]PL NEW'!B7:C7</f>
        <v>Ngày công làm việc</v>
      </c>
      <c r="C10" s="32"/>
      <c r="D10" s="33" t="s">
        <v>17</v>
      </c>
      <c r="E10" s="34">
        <v>8846154</v>
      </c>
      <c r="F10" s="35" t="s">
        <v>12</v>
      </c>
      <c r="G10" s="36" t="s">
        <v>18</v>
      </c>
      <c r="H10" s="34">
        <f>IFERROR(VLOOKUP($C$5,'[2]Salary  OCT'!$B$5:$CE$82,53,0),0)</f>
        <v>0</v>
      </c>
      <c r="I10" s="37" t="s">
        <v>12</v>
      </c>
    </row>
    <row r="11" ht="22.75" customHeight="1" spans="2:9" x14ac:dyDescent="0.25">
      <c r="B11" s="31" t="str">
        <f>'[1]PL NEW'!B8:C8</f>
        <v>Ngày lễ</v>
      </c>
      <c r="C11" s="32"/>
      <c r="D11" s="33"/>
      <c r="E11" s="34">
        <f>IFERROR(VLOOKUP($C$5,'[2]Salary  OCT'!$B$5:$CE$182,43,0),0)</f>
        <v>0</v>
      </c>
      <c r="F11" s="35" t="s">
        <v>12</v>
      </c>
      <c r="G11" s="36" t="s">
        <v>19</v>
      </c>
      <c r="H11" s="34">
        <f>IFERROR(VLOOKUP($C$5,'[2]Salary  OCT'!$B$5:$CE$82,54,0),0)</f>
        <v>0</v>
      </c>
      <c r="I11" s="37" t="s">
        <v>12</v>
      </c>
    </row>
    <row r="12" ht="22.75" customHeight="1" spans="2:9" x14ac:dyDescent="0.25">
      <c r="B12" s="38" t="s">
        <v>20</v>
      </c>
      <c r="C12" s="39"/>
      <c r="D12" s="33">
        <f>IFERROR(VLOOKUP($C$5,'[2]Salary  OCT'!$B$5:$CE$182,22,0),0)</f>
        <v>0</v>
      </c>
      <c r="E12" s="34">
        <f>IFERROR(VLOOKUP($C$5,'[2]Salary  OCT'!$B$5:$CE$182,44,0),0)</f>
        <v>0</v>
      </c>
      <c r="F12" s="35" t="s">
        <v>12</v>
      </c>
      <c r="G12" s="36" t="s">
        <v>21</v>
      </c>
      <c r="H12" s="34">
        <f>IFERROR(VLOOKUP($C$5,'[2]Salary  OCT'!$B$5:$CE$82,56,0),0)</f>
        <v>0</v>
      </c>
      <c r="I12" s="37" t="s">
        <v>12</v>
      </c>
    </row>
    <row r="13" ht="22.75" customHeight="1" spans="2:9" x14ac:dyDescent="0.25">
      <c r="B13" s="31" t="s">
        <v>22</v>
      </c>
      <c r="C13" s="32"/>
      <c r="D13" s="33" t="s">
        <v>23</v>
      </c>
      <c r="E13" s="34">
        <v>99038</v>
      </c>
      <c r="F13" s="35" t="s">
        <v>12</v>
      </c>
      <c r="G13" s="36" t="s">
        <v>24</v>
      </c>
      <c r="H13" s="34">
        <v>500000</v>
      </c>
      <c r="I13" s="37" t="s">
        <v>12</v>
      </c>
    </row>
    <row r="14" ht="22.75" customHeight="1" spans="2:9" x14ac:dyDescent="0.25">
      <c r="B14" s="31" t="s">
        <v>25</v>
      </c>
      <c r="C14" s="32"/>
      <c r="D14" s="33">
        <f>IFERROR(VLOOKUP($C$5,'[2]Salary  OCT'!$B$5:$CE$182,24,0),0)</f>
        <v>0</v>
      </c>
      <c r="E14" s="34">
        <f>IFERROR(VLOOKUP($C$5,'[2]Salary  OCT'!$B$5:$CE$182,46,0),0)</f>
        <v>0</v>
      </c>
      <c r="F14" s="35" t="s">
        <v>12</v>
      </c>
      <c r="G14" s="36" t="s">
        <v>26</v>
      </c>
      <c r="H14" s="34">
        <v>1200000</v>
      </c>
      <c r="I14" s="37" t="s">
        <v>12</v>
      </c>
    </row>
    <row r="15" ht="22.75" customHeight="1" spans="2:9" x14ac:dyDescent="0.25">
      <c r="B15" s="31" t="s">
        <v>27</v>
      </c>
      <c r="C15" s="32"/>
      <c r="D15" s="33">
        <f>IFERROR(VLOOKUP($C$5,'[2]Salary  OCT'!$B$5:$CE$182,25,0),0)</f>
        <v>0</v>
      </c>
      <c r="E15" s="34">
        <f>IFERROR(VLOOKUP($C$5,'[2]Salary  OCT'!$B$5:$CE$182,47,0),0)</f>
        <v>0</v>
      </c>
      <c r="F15" s="35" t="s">
        <v>12</v>
      </c>
      <c r="G15" s="36" t="s">
        <v>28</v>
      </c>
      <c r="H15" s="34">
        <v>500000</v>
      </c>
      <c r="I15" s="37" t="s">
        <v>12</v>
      </c>
    </row>
    <row r="16" ht="22.75" customHeight="1" spans="2:9" x14ac:dyDescent="0.25">
      <c r="B16" s="31" t="str">
        <f>'[1]PL NEW'!B16</f>
        <v>Chuyên cần</v>
      </c>
      <c r="C16" s="32"/>
      <c r="D16" s="33">
        <f>IFERROR(VLOOKUP($C$5,'[2]Salary  OCT'!$B$5:$CE$182,26,0),0)</f>
        <v>0</v>
      </c>
      <c r="E16" s="34">
        <f>IFERROR(VLOOKUP($C$5,'[2]Salary  OCT'!$B$5:$CE$182,48,0),0)</f>
        <v>0</v>
      </c>
      <c r="F16" s="35" t="s">
        <v>12</v>
      </c>
      <c r="G16" s="36" t="s">
        <v>29</v>
      </c>
      <c r="H16" s="34">
        <f>IFERROR(VLOOKUP($C$5,'[2]Salary  OCT'!$B$5:$CE$182,66,0),0)</f>
        <v>0</v>
      </c>
      <c r="I16" s="37" t="s">
        <v>12</v>
      </c>
    </row>
    <row r="17" ht="22.75" customHeight="1" spans="2:9" x14ac:dyDescent="0.25">
      <c r="B17" s="31" t="str">
        <f>'[1]PL NEW'!B17</f>
        <v>Bù lương</v>
      </c>
      <c r="C17" s="32"/>
      <c r="D17" s="33">
        <f>IFERROR(VLOOKUP($C$5,'[2]Salary  OCT'!$B$5:$CE$182,27,0),0)</f>
        <v>0</v>
      </c>
      <c r="E17" s="34">
        <f>IFERROR(VLOOKUP($C$5,'[2]Salary  OCT'!$B$5:$CE$182,49,0),0)</f>
        <v>0</v>
      </c>
      <c r="F17" s="35" t="s">
        <v>12</v>
      </c>
      <c r="G17" s="36" t="s">
        <v>30</v>
      </c>
      <c r="H17" s="34">
        <f>IFERROR(VLOOKUP($C$5,'[2]Salary  OCT'!$B$5:$CE$182,67,0),0)</f>
        <v>0</v>
      </c>
      <c r="I17" s="37" t="s">
        <v>12</v>
      </c>
    </row>
    <row r="18" ht="22.75" customHeight="1" spans="2:9" x14ac:dyDescent="0.25">
      <c r="B18" s="31" t="s">
        <v>31</v>
      </c>
      <c r="C18" s="32"/>
      <c r="D18" s="33">
        <f>IFERROR(VLOOKUP($C$5,'[2]Salary  OCT'!$B$5:$CE$182,28,0),0)</f>
        <v>0</v>
      </c>
      <c r="E18" s="34">
        <f>IFERROR(VLOOKUP($C$5,'[2]Salary  OCT'!$B$5:$CE$182,50,0),0)</f>
        <v>0</v>
      </c>
      <c r="F18" s="35" t="s">
        <v>12</v>
      </c>
      <c r="G18" s="36" t="s">
        <v>32</v>
      </c>
      <c r="H18" s="34">
        <f>IFERROR(VLOOKUP($C$5,'[2]Salary  OCT'!$B$5:$CE$182,68,0),0)</f>
        <v>0</v>
      </c>
      <c r="I18" s="37" t="s">
        <v>12</v>
      </c>
    </row>
    <row r="19" ht="22.75" customHeight="1" spans="2:9" x14ac:dyDescent="0.25">
      <c r="B19" s="31" t="s">
        <v>33</v>
      </c>
      <c r="C19" s="32"/>
      <c r="D19" s="33">
        <f>IFERROR(VLOOKUP($C$5,'[2]Salary  OCT'!$B$5:$CE$182,31,0),0)</f>
        <v>0</v>
      </c>
      <c r="E19" s="34">
        <f>IFERROR(VLOOKUP($C$5,'[2]Salary  OCT'!$B$5:$CE$182,51,0),0)</f>
        <v>0</v>
      </c>
      <c r="F19" s="35" t="s">
        <v>12</v>
      </c>
      <c r="G19" s="36" t="s">
        <v>34</v>
      </c>
      <c r="H19" s="34">
        <f>IFERROR(VLOOKUP($C$5,'[2]Salary  OCT'!$B$5:$CE$182,69,0),0)</f>
        <v>0</v>
      </c>
      <c r="I19" s="37" t="s">
        <v>12</v>
      </c>
    </row>
    <row r="20" ht="22.75" customHeight="1" spans="2:9" x14ac:dyDescent="0.25">
      <c r="B20" s="40" t="s">
        <v>35</v>
      </c>
      <c r="C20" s="20"/>
      <c r="D20" s="33">
        <v>2</v>
      </c>
      <c r="E20" s="34">
        <f>IFERROR(VLOOKUP($C$5,'[2]Salary  OCT'!$B$5:$CE$182,58,0),0)</f>
        <v>0</v>
      </c>
      <c r="F20" s="35" t="s">
        <v>12</v>
      </c>
      <c r="G20" s="36" t="s">
        <v>36</v>
      </c>
      <c r="H20" s="34">
        <f>IFERROR(VLOOKUP($C$5,'[2]Salary  OCT'!$B$5:$CE$182,69,0),0)</f>
        <v>0</v>
      </c>
      <c r="I20" s="37" t="s">
        <v>12</v>
      </c>
    </row>
    <row r="21" ht="22.75" customHeight="1" spans="2:9" x14ac:dyDescent="0.25">
      <c r="B21" s="40" t="s">
        <v>37</v>
      </c>
      <c r="C21" s="20"/>
      <c r="D21" s="33">
        <v>1</v>
      </c>
      <c r="E21" s="34"/>
      <c r="F21" s="35" t="s">
        <v>12</v>
      </c>
      <c r="G21" s="41" t="s">
        <v>38</v>
      </c>
      <c r="H21" s="34">
        <f>IFERROR(VLOOKUP($C$5,'[2]Salary  OCT'!$B$5:$CE$182,69,0),0)</f>
        <v>0</v>
      </c>
      <c r="I21" s="37" t="s">
        <v>12</v>
      </c>
    </row>
    <row r="22" ht="22.75" customHeight="1" spans="2:9" x14ac:dyDescent="0.25">
      <c r="B22" s="40" t="s">
        <v>39</v>
      </c>
      <c r="C22" s="20"/>
      <c r="D22" s="42"/>
      <c r="E22" s="34"/>
      <c r="F22" s="35" t="s">
        <v>12</v>
      </c>
      <c r="G22" s="41" t="s">
        <v>40</v>
      </c>
      <c r="H22" s="34">
        <f>IFERROR(VLOOKUP($C$5,'[2]Salary  OCT'!$B$5:$CE$182,69,0),0)</f>
        <v>0</v>
      </c>
      <c r="I22" s="37" t="s">
        <v>12</v>
      </c>
    </row>
    <row r="23" ht="22.75" customHeight="1" spans="2:9" x14ac:dyDescent="0.25">
      <c r="B23" s="43" t="s">
        <v>41</v>
      </c>
      <c r="C23" s="44"/>
      <c r="D23" s="44"/>
      <c r="E23" s="45">
        <v>11145192</v>
      </c>
      <c r="F23" s="46" t="s">
        <v>12</v>
      </c>
      <c r="G23" s="23"/>
      <c r="H23" s="23"/>
      <c r="I23" s="47"/>
    </row>
    <row r="24" ht="22.75" customHeight="1" spans="2:9" x14ac:dyDescent="0.25">
      <c r="B24" s="48" t="s">
        <v>42</v>
      </c>
      <c r="C24" s="49"/>
      <c r="D24" s="50" t="s">
        <v>43</v>
      </c>
      <c r="E24" s="51">
        <f>IFERROR(VLOOKUP($C$5,'[2]Salary  OCT'!$B$5:$CE$178,72,0),0)</f>
        <v>0</v>
      </c>
      <c r="F24" s="35" t="s">
        <v>12</v>
      </c>
      <c r="G24" s="23" t="s">
        <v>44</v>
      </c>
      <c r="H24" s="23"/>
      <c r="I24" s="37" t="s">
        <v>12</v>
      </c>
    </row>
    <row r="25" ht="22.75" customHeight="1" spans="2:9" x14ac:dyDescent="0.25">
      <c r="B25" s="43"/>
      <c r="C25" s="44"/>
      <c r="D25" s="50" t="s">
        <v>45</v>
      </c>
      <c r="E25" s="51">
        <v>40000</v>
      </c>
      <c r="F25" s="35" t="s">
        <v>12</v>
      </c>
      <c r="G25" s="23" t="s">
        <v>46</v>
      </c>
      <c r="H25" s="23"/>
      <c r="I25" s="37" t="s">
        <v>12</v>
      </c>
    </row>
    <row r="26" ht="22.75" customHeight="1" spans="2:9" x14ac:dyDescent="0.25">
      <c r="B26" s="43"/>
      <c r="C26" s="44"/>
      <c r="D26" s="50" t="s">
        <v>47</v>
      </c>
      <c r="E26" s="51">
        <f>IFERROR(VLOOKUP($C$5,'[2]Salary  OCT'!$B$5:$CE$178,79,0),0)</f>
        <v>0</v>
      </c>
      <c r="F26" s="35" t="s">
        <v>12</v>
      </c>
      <c r="G26" s="23" t="s">
        <v>48</v>
      </c>
      <c r="H26" s="23">
        <v>966000</v>
      </c>
      <c r="I26" s="37" t="s">
        <v>12</v>
      </c>
    </row>
    <row r="27" ht="22.75" customHeight="1" spans="2:9" x14ac:dyDescent="0.25">
      <c r="B27" s="43"/>
      <c r="C27" s="44"/>
      <c r="D27" s="50" t="s">
        <v>49</v>
      </c>
      <c r="E27" s="51">
        <f>IFERROR(VLOOKUP($C$5,'[2]Salary  OCT'!$B$5:$CE$178,80,0),0)</f>
        <v>0</v>
      </c>
      <c r="F27" s="35" t="s">
        <v>12</v>
      </c>
      <c r="G27" s="23"/>
      <c r="H27" s="23"/>
      <c r="I27" s="47"/>
    </row>
    <row r="28" ht="22.75" customHeight="1" spans="2:9" x14ac:dyDescent="0.25">
      <c r="B28" s="52" t="s">
        <v>50</v>
      </c>
      <c r="C28" s="53"/>
      <c r="D28" s="53"/>
      <c r="E28" s="54">
        <v>1006000</v>
      </c>
      <c r="F28" s="35" t="s">
        <v>12</v>
      </c>
      <c r="G28" s="55"/>
      <c r="H28" s="55"/>
      <c r="I28" s="56"/>
    </row>
    <row r="29" ht="22.3" customHeight="1" spans="2:9" x14ac:dyDescent="0.25">
      <c r="B29" s="28" t="s">
        <v>51</v>
      </c>
      <c r="C29" s="29"/>
      <c r="D29" s="29"/>
      <c r="E29" s="57">
        <v>10139192</v>
      </c>
      <c r="F29" s="58" t="s">
        <v>12</v>
      </c>
      <c r="G29" s="55"/>
      <c r="H29" s="55"/>
      <c r="I29" s="56"/>
    </row>
    <row r="30" ht="14.15" customHeight="1" spans="2:9" x14ac:dyDescent="0.25">
      <c r="B30" s="59" t="s">
        <v>52</v>
      </c>
      <c r="C30" s="29"/>
      <c r="D30" s="29"/>
      <c r="E30" s="29"/>
      <c r="F30" s="29"/>
      <c r="G30" s="29"/>
      <c r="H30" s="29"/>
      <c r="I30" s="30"/>
    </row>
    <row r="31" ht="14.15" customHeight="1" spans="2:9" x14ac:dyDescent="0.25">
      <c r="B31" s="60"/>
      <c r="C31" s="61"/>
      <c r="D31" s="61"/>
      <c r="E31" s="61"/>
      <c r="F31" s="61"/>
      <c r="G31" s="61"/>
      <c r="H31" s="61"/>
      <c r="I31" s="62"/>
    </row>
    <row r="32" ht="14.15" customHeight="1" spans="2:9" x14ac:dyDescent="0.25">
      <c r="B32" s="60"/>
      <c r="C32" s="61"/>
      <c r="D32" s="61"/>
      <c r="E32" s="61"/>
      <c r="F32" s="61"/>
      <c r="G32" s="61"/>
      <c r="H32" s="61"/>
      <c r="I32" s="62"/>
    </row>
    <row r="33" ht="14.15" customHeight="1" spans="2:9" x14ac:dyDescent="0.25">
      <c r="B33" s="60"/>
      <c r="C33" s="61"/>
      <c r="D33" s="61"/>
      <c r="E33" s="61"/>
      <c r="F33" s="61"/>
      <c r="G33" s="61"/>
      <c r="H33" s="61"/>
      <c r="I33" s="62"/>
    </row>
    <row r="34" ht="70.5" customHeight="1" spans="2:9" x14ac:dyDescent="0.25">
      <c r="B34" s="63"/>
      <c r="C34" s="64"/>
      <c r="D34" s="64"/>
      <c r="E34" s="64"/>
      <c r="F34" s="64"/>
      <c r="G34" s="64"/>
      <c r="H34" s="64"/>
      <c r="I34" s="65"/>
    </row>
    <row r="35" ht="14.15" customHeight="1" x14ac:dyDescent="0.25"/>
  </sheetData>
  <mergeCells count="31">
    <mergeCell ref="B1:I1"/>
    <mergeCell ref="B2:I2"/>
    <mergeCell ref="B3:I3"/>
    <mergeCell ref="C5:E5"/>
    <mergeCell ref="F5:G5"/>
    <mergeCell ref="H5:I5"/>
    <mergeCell ref="C6:E6"/>
    <mergeCell ref="F6:G6"/>
    <mergeCell ref="C7:E7"/>
    <mergeCell ref="F7:G7"/>
    <mergeCell ref="C8:E8"/>
    <mergeCell ref="F8:G8"/>
    <mergeCell ref="B9:I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D23"/>
    <mergeCell ref="B24:C27"/>
    <mergeCell ref="B28:D28"/>
    <mergeCell ref="B29:D29"/>
    <mergeCell ref="B30:I3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vunguyenvu1913@gmail.com</dc:creator>
  <cp:lastModifiedBy>Dank Nyan</cp:lastModifiedBy>
  <dcterms:created xsi:type="dcterms:W3CDTF">2025-12-04T03:31:47Z</dcterms:created>
  <dcterms:modified xsi:type="dcterms:W3CDTF">2025-12-25T01:25:47Z</dcterms:modified>
</cp:coreProperties>
</file>