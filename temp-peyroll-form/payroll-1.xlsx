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135970EA-1091-4C43-AEFE-B5E4652FB8D2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<sst xmlns="http://schemas.openxmlformats.org/spreadsheetml/2006/main" count="90" uniqueCount="51">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</sst>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2" fillId="0" borderId="0" xfId="1" applyFont="1" applyAlignment="1">
      <alignment horizontal="center"/>
    </xf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43" fontId="6" fillId="2" borderId="0" xfId="2" applyFont="1" applyFill="1" applyBorder="1" applyAlignment="1">
      <alignment horizontal="center" vertical="center"/>
    </xf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11" fillId="0" borderId="6" xfId="1" applyNumberFormat="1" applyFont="1" applyBorder="1" applyAlignment="1">
      <alignment vertical="center" shrinkToFit="1"/>
    </xf>
    <xf numFmtId="0" fontId="7" fillId="2" borderId="6" xfId="2" applyNumberFormat="1" applyFont="1" applyFill="1" applyBorder="1" applyAlignment="1">
      <alignment horizontal="center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0" fontId="7" fillId="2" borderId="12" xfId="3" applyFont="1" applyFill="1" applyBorder="1" applyAlignment="1">
      <alignment horizontal="left" vertical="center" shrinkToFit="1"/>
    </xf>
    <xf numFmtId="0" fontId="8" fillId="2" borderId="12" xfId="1" applyFont="1" applyFill="1" applyBorder="1" applyAlignment="1">
      <alignment horizontal="left" vertical="center" shrinkToFit="1"/>
    </xf>
    <xf numFmtId="164" fontId="7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vertical="center" shrinkToFit="1"/>
    </xf>
    <xf numFmtId="0" fontId="9" fillId="2" borderId="13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13" fillId="0" borderId="14" xfId="1" applyFont="1" applyBorder="1" applyAlignment="1">
      <alignment horizontal="center" vertical="center" wrapText="1" shrinkToFit="1"/>
    </xf>
    <xf numFmtId="0" fontId="6" fillId="0" borderId="15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6" fillId="0" borderId="18" xfId="1" applyFont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12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12" xfId="1" applyFont="1" applyBorder="1" applyAlignment="1">
      <alignment horizontal="left" vertical="center" wrapText="1" shrinkToFit="1"/>
    </xf>
    <xf numFmtId="43" fontId="5" fillId="2" borderId="8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A16" zoomScale="70" zoomScaleNormal="70" workbookViewId="0">
      <selection activeCell="K21" sqref="K21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34.7109375" style="4" customWidth="1"/>
    <col min="4" max="4" width="26.0703125" style="4" customWidth="1"/>
    <col min="5" max="5" width="35.42578125" style="4" customWidth="1"/>
    <col min="6" max="6" width="10.78515625" style="5" customWidth="1"/>
    <col min="7" max="7" width="52.0703125" style="4" customWidth="1"/>
    <col min="8" max="8" width="32.85546875" style="4" customWidth="1"/>
    <col min="9" max="9" width="13.85546875" style="4" customWidth="1"/>
    <col min="10" max="10" width="8" style="2"/>
    <col min="11" max="11" width="8.5" style="2" bestFit="1" customWidth="1"/>
    <col min="12" max="16384" width="8" style="2"/>
  </cols>
  <sheetData>
    <row r="1" spans="1:13" ht="27.45" thickTop="1" x14ac:dyDescent="0.6">
      <c r="A1" s="1"/>
      <c r="B1" s="50" t="s">
        <v>0</v>
      </c>
      <c r="C1" s="51"/>
      <c r="D1" s="51"/>
      <c r="E1" s="51"/>
      <c r="F1" s="51"/>
      <c r="G1" s="51"/>
      <c r="H1" s="51"/>
      <c r="I1" s="52"/>
      <c r="M1" s="3"/>
    </row>
    <row r="2" spans="1:13" ht="30.9" x14ac:dyDescent="0.35">
      <c r="A2" s="1"/>
      <c r="B2" s="53" t="s">
        <v>1</v>
      </c>
      <c r="C2" s="54"/>
      <c r="D2" s="54"/>
      <c r="E2" s="54"/>
      <c r="F2" s="54"/>
      <c r="G2" s="54"/>
      <c r="H2" s="54"/>
      <c r="I2" s="55"/>
    </row>
    <row r="3" spans="1:13" ht="30.9" x14ac:dyDescent="0.7">
      <c r="A3" s="1"/>
      <c r="B3" s="56"/>
      <c r="C3" s="57"/>
      <c r="D3" s="57"/>
      <c r="E3" s="57"/>
      <c r="F3" s="57"/>
      <c r="G3" s="57"/>
      <c r="H3" s="57"/>
      <c r="I3" s="58"/>
    </row>
    <row r="4" spans="1:13" ht="30.9" x14ac:dyDescent="0.35">
      <c r="A4" s="1"/>
      <c r="B4" s="24"/>
      <c r="C4" s="6"/>
      <c r="D4" s="6"/>
      <c r="E4" s="6"/>
      <c r="F4" s="6"/>
      <c r="G4" s="6"/>
      <c r="H4" s="6"/>
      <c r="I4" s="25"/>
    </row>
    <row r="5" spans="1:13" ht="31.3" x14ac:dyDescent="0.35">
      <c r="B5" s="26" t="s">
        <v>2</v>
      </c>
      <c r="C5" s="59"/>
      <c r="D5" s="60"/>
      <c r="E5" s="61"/>
      <c r="F5" s="46" t="s">
        <v>3</v>
      </c>
      <c r="G5" s="46"/>
      <c r="H5" s="46" t="s">
        <v>43</v>
      </c>
      <c r="I5" s="62"/>
    </row>
    <row r="6" spans="1:13" ht="31.3" x14ac:dyDescent="0.35">
      <c r="B6" s="27" t="s">
        <v>4</v>
      </c>
      <c r="C6" s="59"/>
      <c r="D6" s="60"/>
      <c r="E6" s="61"/>
      <c r="F6" s="46" t="s">
        <v>44</v>
      </c>
      <c r="G6" s="46"/>
      <c r="H6" s="7"/>
      <c r="I6" s="28" t="s">
        <v>7</v>
      </c>
    </row>
    <row r="7" spans="1:13" ht="31.3" x14ac:dyDescent="0.35">
      <c r="B7" s="27" t="s">
        <v>5</v>
      </c>
      <c r="C7" s="63"/>
      <c r="D7" s="60"/>
      <c r="E7" s="61"/>
      <c r="F7" s="64" t="s">
        <v>6</v>
      </c>
      <c r="G7" s="65"/>
      <c r="H7" s="7"/>
      <c r="I7" s="28" t="s">
        <v>7</v>
      </c>
    </row>
    <row r="8" spans="1:13" ht="31.3" x14ac:dyDescent="0.35">
      <c r="B8" s="29" t="s">
        <v>8</v>
      </c>
      <c r="C8" s="66"/>
      <c r="D8" s="66"/>
      <c r="E8" s="66"/>
      <c r="F8" s="46" t="s">
        <v>9</v>
      </c>
      <c r="G8" s="46"/>
      <c r="H8" s="7"/>
      <c r="I8" s="28" t="s">
        <v>7</v>
      </c>
    </row>
    <row r="9" spans="1:13" ht="30.9" x14ac:dyDescent="0.35">
      <c r="B9" s="33" t="s">
        <v>10</v>
      </c>
      <c r="C9" s="34"/>
      <c r="D9" s="34"/>
      <c r="E9" s="34"/>
      <c r="F9" s="34"/>
      <c r="G9" s="34"/>
      <c r="H9" s="34"/>
      <c r="I9" s="67"/>
    </row>
    <row r="10" spans="1:13" ht="31.3" x14ac:dyDescent="0.75">
      <c r="B10" s="47" t="str">
        <f>'[1]PL NEW'!B7:C7</f>
        <v>Ngày công làm việc</v>
      </c>
      <c r="C10" s="48"/>
      <c r="D10" s="10"/>
      <c r="E10" s="11"/>
      <c r="F10" s="12" t="s">
        <v>7</v>
      </c>
      <c r="G10" s="9" t="s">
        <v>11</v>
      </c>
      <c r="H10" s="11">
        <f>IFERROR(VLOOKUP($C$5,'[2]Salary  OCT'!$B$5:$CE$82,53,0),0)</f>
        <v>0</v>
      </c>
      <c r="I10" s="30" t="s">
        <v>7</v>
      </c>
    </row>
    <row r="11" spans="1:13" ht="31.3" x14ac:dyDescent="0.75">
      <c r="B11" s="47" t="str">
        <f>'[1]PL NEW'!B8:C8</f>
        <v>Ngày lễ</v>
      </c>
      <c r="C11" s="48"/>
      <c r="D11" s="10"/>
      <c r="E11" s="11">
        <f>IFERROR(VLOOKUP($C$5,'[2]Salary  OCT'!$B$5:$CE$182,43,0),0)</f>
        <v>0</v>
      </c>
      <c r="F11" s="12" t="s">
        <v>7</v>
      </c>
      <c r="G11" s="9" t="s">
        <v>12</v>
      </c>
      <c r="H11" s="11">
        <f>IFERROR(VLOOKUP($C$5,'[2]Salary  OCT'!$B$5:$CE$82,54,0),0)</f>
        <v>0</v>
      </c>
      <c r="I11" s="30" t="s">
        <v>7</v>
      </c>
    </row>
    <row r="12" spans="1:13" ht="61.75" customHeight="1" x14ac:dyDescent="0.75">
      <c r="B12" s="49" t="s">
        <v>50</v>
      </c>
      <c r="C12" s="48"/>
      <c r="D12" s="10"/>
      <c r="E12" s="11">
        <f>IFERROR(VLOOKUP($C$5,'[2]Salary  OCT'!$B$5:$CE$182,44,0),0)</f>
        <v>0</v>
      </c>
      <c r="F12" s="12" t="s">
        <v>7</v>
      </c>
      <c r="G12" s="9" t="s">
        <v>13</v>
      </c>
      <c r="H12" s="11">
        <f>IFERROR(VLOOKUP($C$5,'[2]Salary  OCT'!$B$5:$CE$82,56,0),0)</f>
        <v>0</v>
      </c>
      <c r="I12" s="30" t="s">
        <v>7</v>
      </c>
    </row>
    <row r="13" spans="1:13" ht="31.3" x14ac:dyDescent="0.75">
      <c r="B13" s="47" t="s">
        <v>14</v>
      </c>
      <c r="C13" s="48"/>
      <c r="D13" s="10"/>
      <c r="E13" s="11"/>
      <c r="F13" s="12" t="s">
        <v>7</v>
      </c>
      <c r="G13" s="9" t="s">
        <v>15</v>
      </c>
      <c r="H13" s="11"/>
      <c r="I13" s="30" t="s">
        <v>7</v>
      </c>
    </row>
    <row r="14" spans="1:13" ht="31.3" x14ac:dyDescent="0.75">
      <c r="B14" s="47" t="s">
        <v>16</v>
      </c>
      <c r="C14" s="48"/>
      <c r="D14" s="10"/>
      <c r="E14" s="11">
        <f>IFERROR(VLOOKUP($C$5,'[2]Salary  OCT'!$B$5:$CE$182,46,0),0)</f>
        <v>0</v>
      </c>
      <c r="F14" s="12" t="s">
        <v>7</v>
      </c>
      <c r="G14" s="9" t="s">
        <v>17</v>
      </c>
      <c r="H14" s="11"/>
      <c r="I14" s="30" t="s">
        <v>7</v>
      </c>
    </row>
    <row r="15" spans="1:13" ht="31.3" x14ac:dyDescent="0.75">
      <c r="B15" s="47" t="s">
        <v>18</v>
      </c>
      <c r="C15" s="48"/>
      <c r="D15" s="10"/>
      <c r="E15" s="11">
        <f>IFERROR(VLOOKUP($C$5,'[2]Salary  OCT'!$B$5:$CE$182,47,0),0)</f>
        <v>0</v>
      </c>
      <c r="F15" s="12" t="s">
        <v>7</v>
      </c>
      <c r="G15" s="9" t="s">
        <v>19</v>
      </c>
      <c r="H15" s="11"/>
      <c r="I15" s="30" t="s">
        <v>7</v>
      </c>
    </row>
    <row r="16" spans="1:13" ht="31.3" x14ac:dyDescent="0.75">
      <c r="B16" s="47" t="str">
        <f>'[1]PL NEW'!B16</f>
        <v>Chuyên cần</v>
      </c>
      <c r="C16" s="48"/>
      <c r="D16" s="10"/>
      <c r="E16" s="11">
        <f>IFERROR(VLOOKUP($C$5,'[2]Salary  OCT'!$B$5:$CE$182,48,0),0)</f>
        <v>0</v>
      </c>
      <c r="F16" s="12" t="s">
        <v>7</v>
      </c>
      <c r="G16" s="9" t="s">
        <v>20</v>
      </c>
      <c r="H16" s="11">
        <f>IFERROR(VLOOKUP($C$5,'[2]Salary  OCT'!$B$5:$CE$182,66,0),0)</f>
        <v>0</v>
      </c>
      <c r="I16" s="30" t="s">
        <v>7</v>
      </c>
    </row>
    <row r="17" spans="2:9" ht="31.3" x14ac:dyDescent="0.75">
      <c r="B17" s="47" t="str">
        <f>'[1]PL NEW'!B17</f>
        <v>Bù lương</v>
      </c>
      <c r="C17" s="48"/>
      <c r="D17" s="10"/>
      <c r="E17" s="11">
        <f>IFERROR(VLOOKUP($C$5,'[2]Salary  OCT'!$B$5:$CE$182,49,0),0)</f>
        <v>0</v>
      </c>
      <c r="F17" s="12" t="s">
        <v>7</v>
      </c>
      <c r="G17" s="9" t="s">
        <v>21</v>
      </c>
      <c r="H17" s="11">
        <f>IFERROR(VLOOKUP($C$5,'[2]Salary  OCT'!$B$5:$CE$182,67,0),0)</f>
        <v>0</v>
      </c>
      <c r="I17" s="30" t="s">
        <v>7</v>
      </c>
    </row>
    <row r="18" spans="2:9" ht="31.3" x14ac:dyDescent="0.75">
      <c r="B18" s="47" t="s">
        <v>22</v>
      </c>
      <c r="C18" s="48"/>
      <c r="D18" s="10"/>
      <c r="E18" s="11">
        <f>IFERROR(VLOOKUP($C$5,'[2]Salary  OCT'!$B$5:$CE$182,50,0),0)</f>
        <v>0</v>
      </c>
      <c r="F18" s="12" t="s">
        <v>7</v>
      </c>
      <c r="G18" s="9" t="s">
        <v>23</v>
      </c>
      <c r="H18" s="11">
        <f>IFERROR(VLOOKUP($C$5,'[2]Salary  OCT'!$B$5:$CE$182,68,0),0)</f>
        <v>0</v>
      </c>
      <c r="I18" s="30" t="s">
        <v>7</v>
      </c>
    </row>
    <row r="19" spans="2:9" ht="31.3" x14ac:dyDescent="0.75">
      <c r="B19" s="47" t="s">
        <v>24</v>
      </c>
      <c r="C19" s="48"/>
      <c r="D19" s="10"/>
      <c r="E19" s="11">
        <f>IFERROR(VLOOKUP($C$5,'[2]Salary  OCT'!$B$5:$CE$182,51,0),0)</f>
        <v>0</v>
      </c>
      <c r="F19" s="12" t="s">
        <v>7</v>
      </c>
      <c r="G19" s="9" t="s">
        <v>25</v>
      </c>
      <c r="H19" s="11">
        <f>IFERROR(VLOOKUP($C$5,'[2]Salary  OCT'!$B$5:$CE$182,69,0),0)</f>
        <v>0</v>
      </c>
      <c r="I19" s="30" t="s">
        <v>7</v>
      </c>
    </row>
    <row r="20" spans="2:9" ht="31.3" x14ac:dyDescent="0.75">
      <c r="B20" s="45" t="s">
        <v>26</v>
      </c>
      <c r="C20" s="46"/>
      <c r="D20" s="10"/>
      <c r="E20" s="11">
        <f>IFERROR(VLOOKUP($C$5,'[2]Salary  OCT'!$B$5:$CE$182,58,0),0)</f>
        <v>0</v>
      </c>
      <c r="F20" s="12" t="s">
        <v>7</v>
      </c>
      <c r="G20" s="9" t="s">
        <v>27</v>
      </c>
      <c r="H20" s="11">
        <f>IFERROR(VLOOKUP($C$5,'[2]Salary  OCT'!$B$5:$CE$182,69,0),0)</f>
        <v>0</v>
      </c>
      <c r="I20" s="30" t="s">
        <v>7</v>
      </c>
    </row>
    <row r="21" spans="2:9" ht="31.3" x14ac:dyDescent="0.75">
      <c r="B21" s="45" t="s">
        <v>28</v>
      </c>
      <c r="C21" s="46"/>
      <c r="D21" s="10"/>
      <c r="E21" s="11"/>
      <c r="F21" s="12" t="s">
        <v>7</v>
      </c>
      <c r="G21" s="13" t="s">
        <v>29</v>
      </c>
      <c r="H21" s="11">
        <f>IFERROR(VLOOKUP($C$5,'[2]Salary  OCT'!$B$5:$CE$182,69,0),0)</f>
        <v>0</v>
      </c>
      <c r="I21" s="30" t="s">
        <v>7</v>
      </c>
    </row>
    <row r="22" spans="2:9" ht="31.3" x14ac:dyDescent="0.75">
      <c r="B22" s="45" t="s">
        <v>30</v>
      </c>
      <c r="C22" s="46"/>
      <c r="D22" s="14"/>
      <c r="E22" s="11"/>
      <c r="F22" s="12" t="s">
        <v>7</v>
      </c>
      <c r="G22" s="13" t="s">
        <v>31</v>
      </c>
      <c r="H22" s="11">
        <f>IFERROR(VLOOKUP($C$5,'[2]Salary  OCT'!$B$5:$CE$182,69,0),0)</f>
        <v>0</v>
      </c>
      <c r="I22" s="30" t="s">
        <v>7</v>
      </c>
    </row>
    <row r="23" spans="2:9" ht="31.3" x14ac:dyDescent="0.35">
      <c r="B23" s="33" t="s">
        <v>32</v>
      </c>
      <c r="C23" s="34"/>
      <c r="D23" s="34"/>
      <c r="E23" s="15">
        <f>+SUM(E10:E21)+SUM(H10:H21)</f>
        <v>0</v>
      </c>
      <c r="F23" s="16" t="s">
        <v>7</v>
      </c>
      <c r="G23" s="8"/>
      <c r="H23" s="8"/>
      <c r="I23" s="31"/>
    </row>
    <row r="24" spans="2:9" ht="31.3" x14ac:dyDescent="0.75">
      <c r="B24" s="33" t="s">
        <v>33</v>
      </c>
      <c r="C24" s="34"/>
      <c r="D24" s="9" t="s">
        <v>34</v>
      </c>
      <c r="E24" s="11">
        <f>IFERROR(VLOOKUP($C$5,'[2]Salary  OCT'!$B$5:$CE$178,72,0),0)</f>
        <v>0</v>
      </c>
      <c r="F24" s="12" t="s">
        <v>7</v>
      </c>
      <c r="G24" s="8" t="s">
        <v>35</v>
      </c>
      <c r="H24" s="11">
        <v>0</v>
      </c>
      <c r="I24" s="30" t="s">
        <v>7</v>
      </c>
    </row>
    <row r="25" spans="2:9" ht="31.3" x14ac:dyDescent="0.75">
      <c r="B25" s="33"/>
      <c r="C25" s="34"/>
      <c r="D25" s="9" t="s">
        <v>36</v>
      </c>
      <c r="E25" s="11">
        <v>40000</v>
      </c>
      <c r="F25" s="12" t="s">
        <v>7</v>
      </c>
      <c r="G25" s="8" t="s">
        <v>37</v>
      </c>
      <c r="H25" s="11">
        <v>0</v>
      </c>
      <c r="I25" s="30" t="s">
        <v>7</v>
      </c>
    </row>
    <row r="26" spans="2:9" ht="31.3" x14ac:dyDescent="0.75">
      <c r="B26" s="33"/>
      <c r="C26" s="34"/>
      <c r="D26" s="9" t="s">
        <v>38</v>
      </c>
      <c r="E26" s="11">
        <f>IFERROR(VLOOKUP($C$5,'[2]Salary  OCT'!$B$5:$CE$178,79,0),0)</f>
        <v>0</v>
      </c>
      <c r="F26" s="12" t="s">
        <v>7</v>
      </c>
      <c r="G26" s="8" t="s">
        <v>39</v>
      </c>
      <c r="H26" s="11">
        <v>0</v>
      </c>
      <c r="I26" s="30" t="s">
        <v>7</v>
      </c>
    </row>
    <row r="27" spans="2:9" ht="31.3" x14ac:dyDescent="0.75">
      <c r="B27" s="33"/>
      <c r="C27" s="34"/>
      <c r="D27" s="9" t="s">
        <v>40</v>
      </c>
      <c r="E27" s="11">
        <f>IFERROR(VLOOKUP($C$5,'[2]Salary  OCT'!$B$5:$CE$178,80,0),0)</f>
        <v>0</v>
      </c>
      <c r="F27" s="12" t="s">
        <v>7</v>
      </c>
      <c r="G27" s="8" t="s">
        <v>46</v>
      </c>
      <c r="H27" s="17"/>
      <c r="I27" s="31"/>
    </row>
    <row r="28" spans="2:9" ht="31.3" x14ac:dyDescent="0.35">
      <c r="B28" s="33" t="s">
        <v>41</v>
      </c>
      <c r="C28" s="34"/>
      <c r="D28" s="34"/>
      <c r="E28" s="15">
        <f>+SUM(E24:E27)+SUM(H24:H27)</f>
        <v>40000</v>
      </c>
      <c r="F28" s="12" t="s">
        <v>7</v>
      </c>
      <c r="G28" s="8" t="s">
        <v>47</v>
      </c>
      <c r="H28" s="17"/>
      <c r="I28" s="31"/>
    </row>
    <row r="29" spans="2:9" ht="31.3" x14ac:dyDescent="0.35">
      <c r="B29" s="32"/>
      <c r="C29" s="18"/>
      <c r="D29" s="18"/>
      <c r="E29" s="19"/>
      <c r="F29" s="20"/>
      <c r="G29" s="8" t="s">
        <v>48</v>
      </c>
      <c r="H29" s="21"/>
      <c r="I29" s="30"/>
    </row>
    <row r="30" spans="2:9" ht="31.3" x14ac:dyDescent="0.75">
      <c r="B30" s="35" t="s">
        <v>42</v>
      </c>
      <c r="C30" s="36"/>
      <c r="D30" s="36"/>
      <c r="E30" s="22">
        <f>+ROUND(E23-E28,0)</f>
        <v>-40000</v>
      </c>
      <c r="F30" s="23" t="s">
        <v>7</v>
      </c>
      <c r="G30" s="8" t="s">
        <v>49</v>
      </c>
      <c r="H30" s="11"/>
      <c r="I30" s="30" t="s">
        <v>7</v>
      </c>
    </row>
    <row r="31" spans="2:9" ht="14.15" x14ac:dyDescent="0.35">
      <c r="B31" s="37" t="s">
        <v>45</v>
      </c>
      <c r="C31" s="36"/>
      <c r="D31" s="36"/>
      <c r="E31" s="36"/>
      <c r="F31" s="36"/>
      <c r="G31" s="36"/>
      <c r="H31" s="36"/>
      <c r="I31" s="38"/>
    </row>
    <row r="32" spans="2:9" ht="14.15" x14ac:dyDescent="0.35">
      <c r="B32" s="39"/>
      <c r="C32" s="40"/>
      <c r="D32" s="40"/>
      <c r="E32" s="40"/>
      <c r="F32" s="40"/>
      <c r="G32" s="40"/>
      <c r="H32" s="40"/>
      <c r="I32" s="41"/>
    </row>
    <row r="33" spans="2:9" ht="14.15" x14ac:dyDescent="0.35">
      <c r="B33" s="39"/>
      <c r="C33" s="40"/>
      <c r="D33" s="40"/>
      <c r="E33" s="40"/>
      <c r="F33" s="40"/>
      <c r="G33" s="40"/>
      <c r="H33" s="40"/>
      <c r="I33" s="41"/>
    </row>
    <row r="34" spans="2:9" ht="14.15" x14ac:dyDescent="0.35">
      <c r="B34" s="39"/>
      <c r="C34" s="40"/>
      <c r="D34" s="40"/>
      <c r="E34" s="40"/>
      <c r="F34" s="40"/>
      <c r="G34" s="40"/>
      <c r="H34" s="40"/>
      <c r="I34" s="41"/>
    </row>
    <row r="35" spans="2:9" ht="176.15" customHeight="1" thickBot="1" x14ac:dyDescent="0.4">
      <c r="B35" s="42"/>
      <c r="C35" s="43"/>
      <c r="D35" s="43"/>
      <c r="E35" s="43"/>
      <c r="F35" s="43"/>
      <c r="G35" s="43"/>
      <c r="H35" s="43"/>
      <c r="I35" s="44"/>
    </row>
    <row r="36" spans="2:9" ht="14.6" thickTop="1" x14ac:dyDescent="0.35"/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2026-02-04T06:47:23Z</dcterms:modified>
</cp:coreProperties>
</file>