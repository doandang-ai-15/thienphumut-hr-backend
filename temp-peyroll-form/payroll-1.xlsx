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emp-peyroll-form\"/>
    </mc:Choice>
  </mc:AlternateContent>
  <xr:revisionPtr revIDLastSave="0" documentId="8_{2AD9AF67-8DFE-4C80-8019-3B85FF749431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1" l="1"/>
  <c r="E26" i="1"/>
  <c r="E24" i="1"/>
  <c r="E28" i="1" s="1"/>
  <c r="H22" i="1"/>
  <c r="H21" i="1"/>
  <c r="H20" i="1"/>
  <c r="E20" i="1"/>
  <c r="H19" i="1"/>
  <c r="E19" i="1"/>
  <c r="D19" i="1"/>
  <c r="H18" i="1"/>
  <c r="E18" i="1"/>
  <c r="D18" i="1"/>
  <c r="H17" i="1"/>
  <c r="E17" i="1"/>
  <c r="D17" i="1"/>
  <c r="B17" i="1"/>
  <c r="H16" i="1"/>
  <c r="E16" i="1"/>
  <c r="D16" i="1"/>
  <c r="B16" i="1"/>
  <c r="E15" i="1"/>
  <c r="D15" i="1"/>
  <c r="E14" i="1"/>
  <c r="D14" i="1"/>
  <c r="H12" i="1"/>
  <c r="E12" i="1"/>
  <c r="D12" i="1"/>
  <c r="H11" i="1"/>
  <c r="E11" i="1"/>
  <c r="B11" i="1"/>
  <c r="H10" i="1"/>
  <c r="B10" i="1"/>
  <c r="B3" i="1"/>
  <c r="E23" i="1" l="1"/>
  <c r="E29" i="1" s="1"/>
</calcChain>
</file>

<file path=xl/sharedStrings.xml><?xml version="1.0" encoding="utf-8"?>
<sst xmlns="http://schemas.openxmlformats.org/spreadsheetml/2006/main" count="86" uniqueCount="49">
  <si>
    <t>THIEN PHU MUT CO.,LTD</t>
  </si>
  <si>
    <t>THÁNG 10/2025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</si>
  <si>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</si>
  <si>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</si>
  <si>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</si>
  <si>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</si>
  <si>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</si>
  <si>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</si>
  <si>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</si>
  <si>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</si>
  <si>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</si>
  <si>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</si>
  <si>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</si>
  <si>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</si>
  <si>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 xml:space="preserve">Ngày công Nghỉ phép tang /kết hôn/TNLĐ 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</si>
  <si>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</si>
  <si>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</si>
  <si>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</si>
  <si>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</si>
  <si>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</si>
  <si>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</si>
  <si>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</si>
  <si>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</si>
  <si>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</si>
  <si>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</si>
  <si>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</si>
  <si>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</si>
  <si>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</si>
  <si>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</si>
  <si>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</si>
  <si>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</si>
  <si>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</si>
  <si>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</si>
  <si>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</si>
  <si>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</si>
  <si>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</si>
  <si>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</si>
  <si>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</si>
  <si>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</si>
  <si>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</si>
  <si>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</si>
  <si>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</si>
  <si>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</si>
  <si>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</si>
  <si>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</si>
  <si>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Cảm ơn vì sự nỗ lực làm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</si>
  <si>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Đoàn Nguyễn Minh Đăng</t>
  </si>
  <si>
    <t>IT</t>
  </si>
  <si>
    <t>01115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</si>
</sst>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#,##0.0&quot; ngày&quot;"/>
    <numFmt numFmtId="166" formatCode="#,##0.0&quot; giờ&quot;"/>
  </numFmts>
  <fonts count="16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24"/>
      <color theme="1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i/>
      <sz val="16"/>
      <name val="Times New Roman"/>
      <family val="1"/>
    </font>
    <font>
      <sz val="14"/>
      <color theme="1"/>
      <name val="Times New Roman"/>
      <family val="1"/>
    </font>
    <font>
      <b/>
      <i/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b/>
      <sz val="18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9">
    <xf numFmtId="0" fontId="0" fillId="0" borderId="0" xfId="0"/>
    <xf numFmtId="0" fontId="2" fillId="0" borderId="0" xfId="1" applyFont="1" applyAlignment="1">
      <alignment horizontal="center"/>
    </xf>
    <xf numFmtId="0" fontId="5" fillId="0" borderId="0" xfId="3" applyFont="1"/>
    <xf numFmtId="43" fontId="5" fillId="0" borderId="0" xfId="3" applyNumberFormat="1" applyFont="1"/>
    <xf numFmtId="43" fontId="4" fillId="2" borderId="4" xfId="2" applyFont="1" applyFill="1" applyBorder="1" applyAlignment="1">
      <alignment horizontal="center" vertical="center"/>
    </xf>
    <xf numFmtId="43" fontId="4" fillId="2" borderId="0" xfId="2" applyFont="1" applyFill="1" applyBorder="1" applyAlignment="1">
      <alignment horizontal="center" vertical="center"/>
    </xf>
    <xf numFmtId="43" fontId="4" fillId="2" borderId="5" xfId="2" applyFont="1" applyFill="1" applyBorder="1" applyAlignment="1">
      <alignment horizontal="center" vertical="center"/>
    </xf>
    <xf numFmtId="0" fontId="7" fillId="2" borderId="6" xfId="3" applyFont="1" applyFill="1" applyBorder="1" applyAlignment="1">
      <alignment horizontal="left" vertical="center" shrinkToFit="1"/>
    </xf>
    <xf numFmtId="0" fontId="8" fillId="2" borderId="6" xfId="1" applyFont="1" applyFill="1" applyBorder="1" applyAlignment="1">
      <alignment horizontal="left" vertical="center" shrinkToFit="1"/>
    </xf>
    <xf numFmtId="0" fontId="8" fillId="2" borderId="10" xfId="1" applyFont="1" applyFill="1" applyBorder="1" applyAlignment="1">
      <alignment vertical="center" shrinkToFit="1"/>
    </xf>
    <xf numFmtId="164" fontId="7" fillId="2" borderId="11" xfId="2" applyNumberFormat="1" applyFont="1" applyFill="1" applyBorder="1" applyAlignment="1">
      <alignment horizontal="center" vertical="center" shrinkToFit="1"/>
    </xf>
    <xf numFmtId="164" fontId="7" fillId="2" borderId="10" xfId="2" applyNumberFormat="1" applyFont="1" applyFill="1" applyBorder="1" applyAlignment="1">
      <alignment horizontal="center" vertical="center" shrinkToFit="1"/>
    </xf>
    <xf numFmtId="0" fontId="8" fillId="2" borderId="6" xfId="1" applyFont="1" applyFill="1" applyBorder="1" applyAlignment="1">
      <alignment vertical="center" shrinkToFit="1"/>
    </xf>
    <xf numFmtId="165" fontId="9" fillId="2" borderId="7" xfId="2" applyNumberFormat="1" applyFont="1" applyFill="1" applyBorder="1" applyAlignment="1">
      <alignment horizontal="center" shrinkToFit="1"/>
    </xf>
    <xf numFmtId="164" fontId="10" fillId="2" borderId="10" xfId="2" applyNumberFormat="1" applyFont="1" applyFill="1" applyBorder="1" applyAlignment="1">
      <alignment shrinkToFit="1"/>
    </xf>
    <xf numFmtId="0" fontId="9" fillId="2" borderId="10" xfId="2" applyNumberFormat="1" applyFont="1" applyFill="1" applyBorder="1" applyAlignment="1">
      <alignment horizontal="center" vertical="center" shrinkToFit="1"/>
    </xf>
    <xf numFmtId="0" fontId="8" fillId="0" borderId="10" xfId="1" applyFont="1" applyBorder="1" applyAlignment="1">
      <alignment horizontal="left" vertical="center" shrinkToFit="1"/>
    </xf>
    <xf numFmtId="0" fontId="9" fillId="2" borderId="11" xfId="2" applyNumberFormat="1" applyFont="1" applyFill="1" applyBorder="1" applyAlignment="1">
      <alignment horizontal="center" vertical="center" shrinkToFit="1"/>
    </xf>
    <xf numFmtId="166" fontId="9" fillId="2" borderId="7" xfId="2" applyNumberFormat="1" applyFont="1" applyFill="1" applyBorder="1" applyAlignment="1">
      <alignment horizontal="center" shrinkToFit="1"/>
    </xf>
    <xf numFmtId="0" fontId="8" fillId="0" borderId="15" xfId="1" applyFont="1" applyBorder="1" applyAlignment="1">
      <alignment vertical="center" shrinkToFit="1"/>
    </xf>
    <xf numFmtId="164" fontId="12" fillId="0" borderId="10" xfId="1" applyNumberFormat="1" applyFont="1" applyBorder="1" applyAlignment="1">
      <alignment vertical="center" shrinkToFit="1"/>
    </xf>
    <xf numFmtId="0" fontId="7" fillId="2" borderId="10" xfId="2" applyNumberFormat="1" applyFont="1" applyFill="1" applyBorder="1" applyAlignment="1">
      <alignment horizontal="center" vertical="center" shrinkToFit="1"/>
    </xf>
    <xf numFmtId="0" fontId="8" fillId="2" borderId="11" xfId="1" applyFont="1" applyFill="1" applyBorder="1" applyAlignment="1">
      <alignment vertical="center" shrinkToFit="1"/>
    </xf>
    <xf numFmtId="0" fontId="8" fillId="0" borderId="10" xfId="1" applyFont="1" applyBorder="1" applyAlignment="1">
      <alignment vertical="center" shrinkToFit="1"/>
    </xf>
    <xf numFmtId="164" fontId="10" fillId="2" borderId="7" xfId="2" applyNumberFormat="1" applyFont="1" applyFill="1" applyBorder="1" applyAlignment="1">
      <alignment shrinkToFit="1"/>
    </xf>
    <xf numFmtId="164" fontId="12" fillId="0" borderId="8" xfId="1" applyNumberFormat="1" applyFont="1" applyBorder="1" applyAlignment="1">
      <alignment vertical="center" shrinkToFit="1"/>
    </xf>
    <xf numFmtId="0" fontId="14" fillId="2" borderId="10" xfId="1" applyFont="1" applyFill="1" applyBorder="1" applyAlignment="1">
      <alignment vertical="center" shrinkToFit="1"/>
    </xf>
    <xf numFmtId="0" fontId="14" fillId="2" borderId="11" xfId="1" applyFont="1" applyFill="1" applyBorder="1" applyAlignment="1">
      <alignment vertical="center" shrinkToFit="1"/>
    </xf>
    <xf numFmtId="164" fontId="12" fillId="0" borderId="18" xfId="1" applyNumberFormat="1" applyFont="1" applyBorder="1" applyAlignment="1">
      <alignment vertical="center" shrinkToFit="1"/>
    </xf>
    <xf numFmtId="0" fontId="7" fillId="2" borderId="18" xfId="2" applyNumberFormat="1" applyFont="1" applyFill="1" applyBorder="1" applyAlignment="1">
      <alignment horizontal="center" vertical="center" shrinkToFit="1"/>
    </xf>
    <xf numFmtId="0" fontId="5" fillId="2" borderId="0" xfId="3" applyFont="1" applyFill="1"/>
    <xf numFmtId="164" fontId="5" fillId="2" borderId="0" xfId="2" applyNumberFormat="1" applyFont="1" applyFill="1"/>
    <xf numFmtId="0" fontId="6" fillId="0" borderId="6" xfId="1" applyFont="1" applyBorder="1" applyAlignment="1">
      <alignment horizontal="center" vertical="center" shrinkToFit="1"/>
    </xf>
    <xf numFmtId="0" fontId="6" fillId="0" borderId="10" xfId="1" applyFont="1" applyBorder="1" applyAlignment="1">
      <alignment horizontal="center" vertical="center" shrinkToFit="1"/>
    </xf>
    <xf numFmtId="0" fontId="6" fillId="0" borderId="16" xfId="1" applyFont="1" applyBorder="1" applyAlignment="1">
      <alignment horizontal="center" vertical="center" shrinkToFit="1"/>
    </xf>
    <xf numFmtId="0" fontId="6" fillId="0" borderId="17" xfId="1" applyFont="1" applyBorder="1" applyAlignment="1">
      <alignment horizontal="center" vertical="center" shrinkToFit="1"/>
    </xf>
    <xf numFmtId="0" fontId="13" fillId="0" borderId="6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15" fillId="0" borderId="12" xfId="1" applyFont="1" applyBorder="1" applyAlignment="1">
      <alignment horizontal="center" vertical="center" wrapText="1" shrinkToFit="1"/>
    </xf>
    <xf numFmtId="0" fontId="6" fillId="0" borderId="14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19" xfId="1" applyFont="1" applyBorder="1" applyAlignment="1">
      <alignment horizontal="center" vertical="center" shrinkToFit="1"/>
    </xf>
    <xf numFmtId="0" fontId="6" fillId="0" borderId="20" xfId="1" applyFont="1" applyBorder="1" applyAlignment="1">
      <alignment horizontal="center" vertical="center" shrinkToFit="1"/>
    </xf>
    <xf numFmtId="0" fontId="6" fillId="0" borderId="21" xfId="1" applyFont="1" applyBorder="1" applyAlignment="1">
      <alignment horizontal="center" vertical="center" shrinkToFit="1"/>
    </xf>
    <xf numFmtId="0" fontId="8" fillId="0" borderId="15" xfId="1" applyFont="1" applyBorder="1" applyAlignment="1">
      <alignment horizontal="left" vertical="center" shrinkToFit="1"/>
    </xf>
    <xf numFmtId="0" fontId="8" fillId="0" borderId="9" xfId="1" applyFont="1" applyBorder="1" applyAlignment="1">
      <alignment horizontal="left" vertical="center" shrinkToFit="1"/>
    </xf>
    <xf numFmtId="0" fontId="8" fillId="2" borderId="15" xfId="1" applyFont="1" applyFill="1" applyBorder="1" applyAlignment="1">
      <alignment horizontal="left" vertical="center" shrinkToFit="1"/>
    </xf>
    <xf numFmtId="0" fontId="8" fillId="2" borderId="9" xfId="1" applyFont="1" applyFill="1" applyBorder="1" applyAlignment="1">
      <alignment horizontal="left" vertical="center" shrinkToFit="1"/>
    </xf>
    <xf numFmtId="0" fontId="11" fillId="0" borderId="15" xfId="1" applyFont="1" applyBorder="1" applyAlignment="1">
      <alignment horizontal="left" vertical="center" shrinkToFit="1"/>
    </xf>
    <xf numFmtId="0" fontId="11" fillId="0" borderId="9" xfId="1" applyFont="1" applyBorder="1" applyAlignment="1">
      <alignment horizontal="left" vertical="center" shrinkToFit="1"/>
    </xf>
    <xf numFmtId="0" fontId="7" fillId="2" borderId="7" xfId="3" applyFont="1" applyFill="1" applyBorder="1" applyAlignment="1">
      <alignment horizontal="center" vertical="center" shrinkToFit="1"/>
    </xf>
    <xf numFmtId="0" fontId="7" fillId="2" borderId="8" xfId="3" applyFont="1" applyFill="1" applyBorder="1" applyAlignment="1">
      <alignment horizontal="center" vertical="center" shrinkToFit="1"/>
    </xf>
    <xf numFmtId="0" fontId="7" fillId="2" borderId="9" xfId="3" applyFont="1" applyFill="1" applyBorder="1" applyAlignment="1">
      <alignment horizontal="center" vertical="center" shrinkToFit="1"/>
    </xf>
    <xf numFmtId="0" fontId="8" fillId="2" borderId="7" xfId="1" applyFont="1" applyFill="1" applyBorder="1" applyAlignment="1">
      <alignment horizontal="left" vertical="center" shrinkToFit="1"/>
    </xf>
    <xf numFmtId="43" fontId="4" fillId="2" borderId="1" xfId="2" applyFont="1" applyFill="1" applyBorder="1" applyAlignment="1">
      <alignment horizontal="center"/>
    </xf>
    <xf numFmtId="43" fontId="4" fillId="2" borderId="2" xfId="2" applyFont="1" applyFill="1" applyBorder="1" applyAlignment="1">
      <alignment horizontal="center"/>
    </xf>
    <xf numFmtId="43" fontId="4" fillId="2" borderId="3" xfId="2" applyFont="1" applyFill="1" applyBorder="1" applyAlignment="1">
      <alignment horizontal="center"/>
    </xf>
    <xf numFmtId="43" fontId="4" fillId="2" borderId="4" xfId="2" applyFont="1" applyFill="1" applyBorder="1" applyAlignment="1">
      <alignment horizontal="center" vertical="center"/>
    </xf>
    <xf numFmtId="43" fontId="4" fillId="2" borderId="0" xfId="2" applyFont="1" applyFill="1" applyBorder="1" applyAlignment="1">
      <alignment horizontal="center" vertical="center"/>
    </xf>
    <xf numFmtId="43" fontId="4" fillId="2" borderId="5" xfId="2" applyFont="1" applyFill="1" applyBorder="1" applyAlignment="1">
      <alignment horizontal="center" vertical="center"/>
    </xf>
    <xf numFmtId="43" fontId="6" fillId="2" borderId="4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/>
    </xf>
    <xf numFmtId="43" fontId="6" fillId="2" borderId="5" xfId="2" applyFont="1" applyFill="1" applyBorder="1" applyAlignment="1">
      <alignment horizontal="center"/>
    </xf>
    <xf numFmtId="0" fontId="8" fillId="2" borderId="10" xfId="1" applyFont="1" applyFill="1" applyBorder="1" applyAlignment="1">
      <alignment horizontal="left" vertical="center" shrinkToFit="1"/>
    </xf>
    <xf numFmtId="14" fontId="7" fillId="2" borderId="7" xfId="3" applyNumberFormat="1" applyFont="1" applyFill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3</xdr:row>
      <xdr:rowOff>66675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&#431;&#416;NG%2011-2025-TRANG.xlsx" TargetMode="External"/><Relationship Id="rId1" Type="http://schemas.openxmlformats.org/officeDocument/2006/relationships/externalLinkPath" Target="/TPM-%20TDM/NH&#194;N%20S&#7920;/L&#431;&#416;NG/L&#431;&#416;NG%202025/L&#431;&#416;NG%2011-2025-TRA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UONG%20THAM%20KH&#7842;O\Salary%20T10.2025-final.xlsx" TargetMode="External"/><Relationship Id="rId1" Type="http://schemas.openxmlformats.org/officeDocument/2006/relationships/externalLinkPath" Target="/TPM-%20TDM/NH&#194;N%20S&#7920;/L&#431;&#416;NG/L&#431;&#416;NG%202025/LUONG%20THAM%20KH&#7842;O/Salary%20T10.2025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ƯU Ý ĐỂ TÍNH LƯƠNG"/>
      <sheetName val="8-trang"/>
      <sheetName val="CC-PHỤ"/>
      <sheetName val="CCT9"/>
      <sheetName val="NP"/>
      <sheetName val="TG-GỐC"/>
      <sheetName val="nghỉ hưởng lương-nuôi con nhỏ"/>
      <sheetName val="NGƯỜI PHỤ THUỘC"/>
      <sheetName val="LƯƠNG"/>
      <sheetName val="THÂM NIÊN"/>
      <sheetName val="LƯƠNG PHỤ"/>
      <sheetName val="thưởng"/>
      <sheetName val="TĂNG LƯƠNG"/>
      <sheetName val="PL NEW"/>
      <sheetName val="Sheet3"/>
      <sheetName val="pn"/>
      <sheetName val="BÙ LƯƠNG"/>
      <sheetName val="PL PHỤ"/>
      <sheetName val="UNG TIEN"/>
      <sheetName val="UNG TIEN IN"/>
      <sheetName val="BẢO HIỂM"/>
      <sheetName val="BH-DAVID"/>
      <sheetName val="báo cáo"/>
      <sheetName val="phiếu lương phép năm"/>
      <sheetName val="CHI TM"/>
      <sheetName val="CK BANK"/>
      <sheetName val="CK KHÁC NH"/>
      <sheetName val="DS CK viettin"/>
      <sheetName val="chuyển bid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Ngày công làm việc</v>
          </cell>
        </row>
        <row r="8">
          <cell r="B8" t="str">
            <v>Ngày lễ</v>
          </cell>
        </row>
        <row r="16">
          <cell r="B16" t="str">
            <v>Chuyên cần</v>
          </cell>
        </row>
        <row r="17">
          <cell r="B17" t="str">
            <v>Bù lương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ndard Oct 2025"/>
      <sheetName val="Working days  Oct"/>
      <sheetName val="Salary  OCT"/>
      <sheetName val="SW salary list  Oct"/>
      <sheetName val="Total"/>
      <sheetName val="salary slip"/>
      <sheetName val="salary slip (2)"/>
      <sheetName val="Annual leave"/>
      <sheetName val="Seniority calculation"/>
      <sheetName val="DS TẠM ỨNG"/>
      <sheetName val="Sheet1"/>
    </sheetNames>
    <sheetDataSet>
      <sheetData sheetId="0" refreshError="1"/>
      <sheetData sheetId="1" refreshError="1"/>
      <sheetData sheetId="2" refreshError="1">
        <row r="5">
          <cell r="B5" t="str">
            <v>250469</v>
          </cell>
          <cell r="C5" t="str">
            <v>Đỗ Thị Thùy Dương</v>
          </cell>
          <cell r="D5">
            <v>8065923642</v>
          </cell>
          <cell r="E5">
            <v>1044068612</v>
          </cell>
          <cell r="F5">
            <v>45758</v>
          </cell>
          <cell r="G5" t="str">
            <v>Offer</v>
          </cell>
          <cell r="H5"/>
          <cell r="I5"/>
          <cell r="J5"/>
          <cell r="K5"/>
          <cell r="L5">
            <v>19500000</v>
          </cell>
          <cell r="M5">
            <v>0</v>
          </cell>
          <cell r="N5">
            <v>300000</v>
          </cell>
          <cell r="O5">
            <v>0</v>
          </cell>
          <cell r="P5">
            <v>0</v>
          </cell>
          <cell r="Q5">
            <v>6500000</v>
          </cell>
          <cell r="R5">
            <v>26300000</v>
          </cell>
          <cell r="S5">
            <v>750000</v>
          </cell>
          <cell r="T5">
            <v>93750</v>
          </cell>
          <cell r="U5">
            <v>24.375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2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1.5</v>
          </cell>
          <cell r="AH5">
            <v>25</v>
          </cell>
          <cell r="AI5">
            <v>0</v>
          </cell>
          <cell r="AJ5">
            <v>10</v>
          </cell>
          <cell r="AK5"/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18281250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1500000</v>
          </cell>
          <cell r="AY5">
            <v>0</v>
          </cell>
          <cell r="AZ5">
            <v>0</v>
          </cell>
          <cell r="BA5"/>
          <cell r="BB5">
            <v>0</v>
          </cell>
          <cell r="BC5">
            <v>300000</v>
          </cell>
          <cell r="BD5">
            <v>0</v>
          </cell>
          <cell r="BE5">
            <v>0</v>
          </cell>
          <cell r="BF5">
            <v>6500000</v>
          </cell>
          <cell r="BG5">
            <v>210938</v>
          </cell>
          <cell r="BH5">
            <v>750000</v>
          </cell>
          <cell r="BI5">
            <v>0</v>
          </cell>
          <cell r="BJ5"/>
          <cell r="BK5"/>
          <cell r="BL5"/>
          <cell r="BM5">
            <v>1406250</v>
          </cell>
          <cell r="BN5"/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28948438</v>
          </cell>
          <cell r="BU5">
            <v>2047500</v>
          </cell>
          <cell r="BV5">
            <v>40000</v>
          </cell>
          <cell r="BW5">
            <v>11000000</v>
          </cell>
          <cell r="BX5"/>
          <cell r="BY5">
            <v>0</v>
          </cell>
          <cell r="BZ5">
            <v>27729688</v>
          </cell>
          <cell r="CA5">
            <v>14682188</v>
          </cell>
          <cell r="CB5">
            <v>1452328</v>
          </cell>
          <cell r="CC5"/>
          <cell r="CD5">
            <v>3539828</v>
          </cell>
          <cell r="CE5">
            <v>25408610</v>
          </cell>
        </row>
        <row r="6">
          <cell r="B6" t="str">
            <v>250367</v>
          </cell>
          <cell r="C6" t="str">
            <v>Đinh Thị Hồng Nhung</v>
          </cell>
          <cell r="D6" t="str">
            <v>8139216256 </v>
          </cell>
          <cell r="E6">
            <v>1028279844</v>
          </cell>
          <cell r="F6">
            <v>45735</v>
          </cell>
          <cell r="G6" t="str">
            <v>Offer</v>
          </cell>
          <cell r="H6"/>
          <cell r="I6"/>
          <cell r="J6"/>
          <cell r="K6"/>
          <cell r="L6">
            <v>9775000</v>
          </cell>
          <cell r="M6">
            <v>0</v>
          </cell>
          <cell r="N6">
            <v>0</v>
          </cell>
          <cell r="O6">
            <v>0</v>
          </cell>
          <cell r="P6">
            <v>100000</v>
          </cell>
          <cell r="Q6">
            <v>3225000</v>
          </cell>
          <cell r="R6">
            <v>13100000</v>
          </cell>
          <cell r="S6">
            <v>375961.53846153844</v>
          </cell>
          <cell r="T6">
            <v>46995.192307692305</v>
          </cell>
          <cell r="U6">
            <v>26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1.5</v>
          </cell>
          <cell r="AH6">
            <v>26</v>
          </cell>
          <cell r="AI6">
            <v>0</v>
          </cell>
          <cell r="AJ6">
            <v>12.4</v>
          </cell>
          <cell r="AK6"/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9775000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375962</v>
          </cell>
          <cell r="AY6">
            <v>0</v>
          </cell>
          <cell r="AZ6">
            <v>0</v>
          </cell>
          <cell r="BA6"/>
          <cell r="BB6">
            <v>0</v>
          </cell>
          <cell r="BC6">
            <v>0</v>
          </cell>
          <cell r="BD6">
            <v>0</v>
          </cell>
          <cell r="BE6">
            <v>100000</v>
          </cell>
          <cell r="BF6">
            <v>3225000</v>
          </cell>
          <cell r="BG6">
            <v>105739</v>
          </cell>
          <cell r="BH6">
            <v>780000</v>
          </cell>
          <cell r="BI6">
            <v>0</v>
          </cell>
          <cell r="BJ6"/>
          <cell r="BK6"/>
          <cell r="BL6"/>
          <cell r="BM6">
            <v>874111</v>
          </cell>
          <cell r="BN6"/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15235812</v>
          </cell>
          <cell r="BU6">
            <v>1026375</v>
          </cell>
          <cell r="BV6">
            <v>40000</v>
          </cell>
          <cell r="BW6">
            <v>11000000</v>
          </cell>
          <cell r="BX6"/>
          <cell r="BY6">
            <v>0</v>
          </cell>
          <cell r="BZ6">
            <v>14164442</v>
          </cell>
          <cell r="CA6">
            <v>2138067</v>
          </cell>
          <cell r="CB6">
            <v>106903</v>
          </cell>
          <cell r="CC6"/>
          <cell r="CD6">
            <v>1173278</v>
          </cell>
          <cell r="CE6">
            <v>14062534</v>
          </cell>
        </row>
        <row r="7">
          <cell r="B7" t="str">
            <v>230939</v>
          </cell>
          <cell r="C7" t="str">
            <v>Trương Thị Liễu</v>
          </cell>
          <cell r="D7">
            <v>8617052919</v>
          </cell>
          <cell r="E7">
            <v>1038305727</v>
          </cell>
          <cell r="F7">
            <v>45026</v>
          </cell>
          <cell r="G7" t="str">
            <v>Offer</v>
          </cell>
          <cell r="H7"/>
          <cell r="I7"/>
          <cell r="J7"/>
          <cell r="K7"/>
          <cell r="L7">
            <v>12975000</v>
          </cell>
          <cell r="M7">
            <v>0</v>
          </cell>
          <cell r="N7">
            <v>0</v>
          </cell>
          <cell r="O7">
            <v>0</v>
          </cell>
          <cell r="P7">
            <v>100000</v>
          </cell>
          <cell r="Q7">
            <v>4225000</v>
          </cell>
          <cell r="R7">
            <v>17300000</v>
          </cell>
          <cell r="S7">
            <v>499038.46153846156</v>
          </cell>
          <cell r="T7">
            <v>62379.807692307695</v>
          </cell>
          <cell r="U7">
            <v>27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1.5</v>
          </cell>
          <cell r="AH7">
            <v>27</v>
          </cell>
          <cell r="AI7">
            <v>0</v>
          </cell>
          <cell r="AJ7">
            <v>46</v>
          </cell>
          <cell r="AK7"/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13474038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/>
          <cell r="BB7">
            <v>0</v>
          </cell>
          <cell r="BC7">
            <v>0</v>
          </cell>
          <cell r="BD7">
            <v>0</v>
          </cell>
          <cell r="BE7">
            <v>100000</v>
          </cell>
          <cell r="BF7">
            <v>4225000</v>
          </cell>
          <cell r="BG7">
            <v>140355</v>
          </cell>
          <cell r="BH7">
            <v>810000</v>
          </cell>
          <cell r="BI7">
            <v>0</v>
          </cell>
          <cell r="BJ7"/>
          <cell r="BK7"/>
          <cell r="BL7"/>
          <cell r="BM7">
            <v>4304207</v>
          </cell>
          <cell r="BN7"/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23053600</v>
          </cell>
          <cell r="BU7">
            <v>1362375</v>
          </cell>
          <cell r="BV7">
            <v>40000</v>
          </cell>
          <cell r="BW7">
            <v>11000000</v>
          </cell>
          <cell r="BX7"/>
          <cell r="BY7">
            <v>0</v>
          </cell>
          <cell r="BZ7">
            <v>20808864</v>
          </cell>
          <cell r="CA7">
            <v>8446489</v>
          </cell>
          <cell r="CB7">
            <v>594649</v>
          </cell>
          <cell r="CC7"/>
          <cell r="CD7">
            <v>1997024</v>
          </cell>
          <cell r="CE7">
            <v>21056576</v>
          </cell>
        </row>
        <row r="8">
          <cell r="B8" t="str">
            <v>250260</v>
          </cell>
          <cell r="C8" t="str">
            <v xml:space="preserve">Võ Ngọc Yến Nhi </v>
          </cell>
          <cell r="D8">
            <v>8937000437</v>
          </cell>
          <cell r="E8" t="str">
            <v>1055022186</v>
          </cell>
          <cell r="F8">
            <v>45712</v>
          </cell>
          <cell r="G8" t="str">
            <v>Offer</v>
          </cell>
          <cell r="H8"/>
          <cell r="I8"/>
          <cell r="J8"/>
          <cell r="K8"/>
          <cell r="L8">
            <v>16125000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5375000</v>
          </cell>
          <cell r="R8">
            <v>21500000</v>
          </cell>
          <cell r="S8">
            <v>620192.30769230775</v>
          </cell>
          <cell r="T8">
            <v>77524.038461538468</v>
          </cell>
          <cell r="U8">
            <v>24.3125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2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1.5</v>
          </cell>
          <cell r="AH8">
            <v>25</v>
          </cell>
          <cell r="AI8">
            <v>0</v>
          </cell>
          <cell r="AJ8">
            <v>2</v>
          </cell>
          <cell r="AK8"/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15078425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1240385</v>
          </cell>
          <cell r="AY8">
            <v>0</v>
          </cell>
          <cell r="AZ8">
            <v>0</v>
          </cell>
          <cell r="BA8"/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5375000</v>
          </cell>
          <cell r="BG8">
            <v>174429</v>
          </cell>
          <cell r="BH8">
            <v>750000</v>
          </cell>
          <cell r="BI8">
            <v>0</v>
          </cell>
          <cell r="BJ8"/>
          <cell r="BK8"/>
          <cell r="BL8"/>
          <cell r="BM8">
            <v>232572</v>
          </cell>
          <cell r="BN8"/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22850811</v>
          </cell>
          <cell r="BU8">
            <v>1693125</v>
          </cell>
          <cell r="BV8">
            <v>40000</v>
          </cell>
          <cell r="BW8">
            <v>11000000</v>
          </cell>
          <cell r="BX8"/>
          <cell r="BY8">
            <v>0</v>
          </cell>
          <cell r="BZ8">
            <v>22023287</v>
          </cell>
          <cell r="CA8">
            <v>9330162</v>
          </cell>
          <cell r="CB8">
            <v>683016</v>
          </cell>
          <cell r="CC8"/>
          <cell r="CD8">
            <v>2416141</v>
          </cell>
          <cell r="CE8">
            <v>20434670</v>
          </cell>
        </row>
        <row r="9">
          <cell r="B9" t="str">
            <v>190816</v>
          </cell>
          <cell r="C9" t="str">
            <v>Nguyễn Thị Liên</v>
          </cell>
          <cell r="D9">
            <v>8499938514</v>
          </cell>
          <cell r="E9" t="str">
            <v>1019917920</v>
          </cell>
          <cell r="F9">
            <v>43696</v>
          </cell>
          <cell r="G9" t="str">
            <v>Offer</v>
          </cell>
          <cell r="H9"/>
          <cell r="I9"/>
          <cell r="J9"/>
          <cell r="K9"/>
          <cell r="L9">
            <v>10800000</v>
          </cell>
          <cell r="M9">
            <v>0</v>
          </cell>
          <cell r="N9">
            <v>0</v>
          </cell>
          <cell r="O9">
            <v>200000</v>
          </cell>
          <cell r="P9">
            <v>0</v>
          </cell>
          <cell r="Q9">
            <v>3600000</v>
          </cell>
          <cell r="R9">
            <v>14600000</v>
          </cell>
          <cell r="S9">
            <v>415384.61538461538</v>
          </cell>
          <cell r="T9">
            <v>51923.076923076922</v>
          </cell>
          <cell r="U9">
            <v>25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2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/>
          <cell r="AH9">
            <v>25</v>
          </cell>
          <cell r="AI9">
            <v>0</v>
          </cell>
          <cell r="AJ9">
            <v>13.5</v>
          </cell>
          <cell r="AK9"/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10384615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830769</v>
          </cell>
          <cell r="AY9">
            <v>0</v>
          </cell>
          <cell r="AZ9">
            <v>0</v>
          </cell>
          <cell r="BA9"/>
          <cell r="BB9">
            <v>0</v>
          </cell>
          <cell r="BC9">
            <v>0</v>
          </cell>
          <cell r="BD9">
            <v>200000</v>
          </cell>
          <cell r="BE9">
            <v>0</v>
          </cell>
          <cell r="BF9">
            <v>3600000</v>
          </cell>
          <cell r="BG9">
            <v>0</v>
          </cell>
          <cell r="BH9">
            <v>750000</v>
          </cell>
          <cell r="BI9">
            <v>0</v>
          </cell>
          <cell r="BJ9"/>
          <cell r="BK9"/>
          <cell r="BL9"/>
          <cell r="BM9">
            <v>1051442</v>
          </cell>
          <cell r="BN9"/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16816826</v>
          </cell>
          <cell r="BU9">
            <v>1155000</v>
          </cell>
          <cell r="BV9">
            <v>40000</v>
          </cell>
          <cell r="BW9">
            <v>11000000</v>
          </cell>
          <cell r="BX9"/>
          <cell r="BY9">
            <v>0</v>
          </cell>
          <cell r="BZ9">
            <v>15716345</v>
          </cell>
          <cell r="CA9">
            <v>3561345</v>
          </cell>
          <cell r="CB9">
            <v>178067</v>
          </cell>
          <cell r="CC9"/>
          <cell r="CD9">
            <v>1373067</v>
          </cell>
          <cell r="CE9">
            <v>15443759</v>
          </cell>
        </row>
        <row r="10">
          <cell r="B10">
            <v>251088</v>
          </cell>
          <cell r="C10" t="str">
            <v>Nguyễn Thị Mai Hoa</v>
          </cell>
          <cell r="D10"/>
          <cell r="E10">
            <v>1061779774</v>
          </cell>
          <cell r="F10">
            <v>45957</v>
          </cell>
          <cell r="G10" t="str">
            <v>Offer</v>
          </cell>
          <cell r="H10">
            <v>5100000</v>
          </cell>
          <cell r="I10"/>
          <cell r="J10">
            <v>1700000</v>
          </cell>
          <cell r="K10">
            <v>6800000</v>
          </cell>
          <cell r="L10"/>
          <cell r="M10"/>
          <cell r="N10"/>
          <cell r="O10"/>
          <cell r="P10"/>
          <cell r="Q10"/>
          <cell r="R10"/>
          <cell r="S10">
            <v>196153.84615384616</v>
          </cell>
          <cell r="T10">
            <v>24519.23076923077</v>
          </cell>
          <cell r="U10">
            <v>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/>
          <cell r="AH10">
            <v>5</v>
          </cell>
          <cell r="AI10">
            <v>0</v>
          </cell>
          <cell r="AJ10">
            <v>0</v>
          </cell>
          <cell r="AK10"/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980769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/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326923</v>
          </cell>
          <cell r="BG10">
            <v>0</v>
          </cell>
          <cell r="BH10">
            <v>150000</v>
          </cell>
          <cell r="BI10">
            <v>0</v>
          </cell>
          <cell r="BJ10"/>
          <cell r="BK10"/>
          <cell r="BL10"/>
          <cell r="BM10">
            <v>0</v>
          </cell>
          <cell r="BN10"/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1457692</v>
          </cell>
          <cell r="BU10"/>
          <cell r="BV10"/>
          <cell r="BW10">
            <v>11000000</v>
          </cell>
          <cell r="BX10"/>
          <cell r="BY10"/>
          <cell r="BZ10">
            <v>1307692</v>
          </cell>
          <cell r="CA10">
            <v>0</v>
          </cell>
          <cell r="CB10">
            <v>0</v>
          </cell>
          <cell r="CC10"/>
          <cell r="CD10">
            <v>0</v>
          </cell>
          <cell r="CE10">
            <v>1457692</v>
          </cell>
        </row>
        <row r="11">
          <cell r="B11" t="str">
            <v>190615</v>
          </cell>
          <cell r="C11" t="str">
            <v>Nguyễn Thị Thủy</v>
          </cell>
          <cell r="D11">
            <v>8607080794</v>
          </cell>
          <cell r="E11" t="str">
            <v>0461000579473</v>
          </cell>
          <cell r="F11">
            <v>43633</v>
          </cell>
          <cell r="G11" t="str">
            <v>Offer</v>
          </cell>
          <cell r="H11"/>
          <cell r="I11"/>
          <cell r="J11"/>
          <cell r="K11"/>
          <cell r="L11">
            <v>12825000</v>
          </cell>
          <cell r="M11">
            <v>0</v>
          </cell>
          <cell r="N11">
            <v>300000</v>
          </cell>
          <cell r="O11">
            <v>200000</v>
          </cell>
          <cell r="P11"/>
          <cell r="Q11">
            <v>3775000</v>
          </cell>
          <cell r="R11">
            <v>17100000</v>
          </cell>
          <cell r="S11">
            <v>493269.23076923075</v>
          </cell>
          <cell r="T11">
            <v>61658.653846153844</v>
          </cell>
          <cell r="U11">
            <v>27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1.5</v>
          </cell>
          <cell r="AH11">
            <v>27</v>
          </cell>
          <cell r="AI11">
            <v>0</v>
          </cell>
          <cell r="AJ11">
            <v>14</v>
          </cell>
          <cell r="AK11"/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13318269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/>
          <cell r="BB11">
            <v>0</v>
          </cell>
          <cell r="BC11">
            <v>300000</v>
          </cell>
          <cell r="BD11">
            <v>200000</v>
          </cell>
          <cell r="BE11">
            <v>0</v>
          </cell>
          <cell r="BF11">
            <v>3775000</v>
          </cell>
          <cell r="BG11">
            <v>138732</v>
          </cell>
          <cell r="BH11">
            <v>810000</v>
          </cell>
          <cell r="BI11">
            <v>0</v>
          </cell>
          <cell r="BJ11"/>
          <cell r="BK11"/>
          <cell r="BL11"/>
          <cell r="BM11">
            <v>1294832</v>
          </cell>
          <cell r="BN11"/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19836833</v>
          </cell>
          <cell r="BU11">
            <v>1367625</v>
          </cell>
          <cell r="BV11">
            <v>40000</v>
          </cell>
          <cell r="BW11">
            <v>11000000</v>
          </cell>
          <cell r="BX11">
            <v>2</v>
          </cell>
          <cell r="BY11">
            <v>8800000</v>
          </cell>
          <cell r="BZ11">
            <v>18595222</v>
          </cell>
          <cell r="CA11">
            <v>0</v>
          </cell>
          <cell r="CB11">
            <v>0</v>
          </cell>
          <cell r="CC11"/>
          <cell r="CD11">
            <v>1407625</v>
          </cell>
          <cell r="CE11">
            <v>18429208</v>
          </cell>
        </row>
        <row r="12">
          <cell r="B12" t="str">
            <v>220224</v>
          </cell>
          <cell r="C12" t="str">
            <v>Nguyễn Thị Mỹ Hạnh</v>
          </cell>
          <cell r="D12">
            <v>8452714357</v>
          </cell>
          <cell r="E12" t="str">
            <v>1027441712</v>
          </cell>
          <cell r="F12">
            <v>44620</v>
          </cell>
          <cell r="G12" t="str">
            <v>Offer</v>
          </cell>
          <cell r="H12"/>
          <cell r="I12"/>
          <cell r="J12"/>
          <cell r="K12"/>
          <cell r="L12">
            <v>11350000</v>
          </cell>
          <cell r="M12">
            <v>0</v>
          </cell>
          <cell r="N12">
            <v>300000</v>
          </cell>
          <cell r="O12">
            <v>0</v>
          </cell>
          <cell r="P12">
            <v>100000</v>
          </cell>
          <cell r="Q12">
            <v>3750000</v>
          </cell>
          <cell r="R12">
            <v>15500000</v>
          </cell>
          <cell r="S12">
            <v>436538.46153846156</v>
          </cell>
          <cell r="T12">
            <v>54567.307692307695</v>
          </cell>
          <cell r="U12">
            <v>27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1.5</v>
          </cell>
          <cell r="AH12">
            <v>27</v>
          </cell>
          <cell r="AI12">
            <v>0</v>
          </cell>
          <cell r="AJ12">
            <v>18.5</v>
          </cell>
          <cell r="AK12"/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11786538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/>
          <cell r="BB12">
            <v>0</v>
          </cell>
          <cell r="BC12">
            <v>300000</v>
          </cell>
          <cell r="BD12">
            <v>0</v>
          </cell>
          <cell r="BE12">
            <v>100000</v>
          </cell>
          <cell r="BF12">
            <v>3750000</v>
          </cell>
          <cell r="BG12">
            <v>122776</v>
          </cell>
          <cell r="BH12">
            <v>810000</v>
          </cell>
          <cell r="BI12">
            <v>0</v>
          </cell>
          <cell r="BJ12"/>
          <cell r="BK12"/>
          <cell r="BL12"/>
          <cell r="BM12">
            <v>1514243</v>
          </cell>
          <cell r="BN12"/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18383557</v>
          </cell>
          <cell r="BU12">
            <v>1191750</v>
          </cell>
          <cell r="BV12">
            <v>40000</v>
          </cell>
          <cell r="BW12">
            <v>11000000</v>
          </cell>
          <cell r="BX12">
            <v>1</v>
          </cell>
          <cell r="BY12">
            <v>4400000</v>
          </cell>
          <cell r="BZ12">
            <v>17068809</v>
          </cell>
          <cell r="CA12">
            <v>477059</v>
          </cell>
          <cell r="CB12">
            <v>23853</v>
          </cell>
          <cell r="CC12"/>
          <cell r="CD12">
            <v>1255603</v>
          </cell>
          <cell r="CE12">
            <v>17127954</v>
          </cell>
        </row>
        <row r="13">
          <cell r="B13" t="str">
            <v>230335</v>
          </cell>
          <cell r="C13" t="str">
            <v>Trần Thị Thùy Trang</v>
          </cell>
          <cell r="D13">
            <v>8756009420</v>
          </cell>
          <cell r="E13" t="str">
            <v>1031140530</v>
          </cell>
          <cell r="F13">
            <v>45012</v>
          </cell>
          <cell r="G13" t="str">
            <v>Offer</v>
          </cell>
          <cell r="H13"/>
          <cell r="I13"/>
          <cell r="J13"/>
          <cell r="K13"/>
          <cell r="L13">
            <v>9775000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3225000</v>
          </cell>
          <cell r="R13">
            <v>13000000</v>
          </cell>
          <cell r="S13">
            <v>375961.53846153844</v>
          </cell>
          <cell r="T13">
            <v>46995.192307692305</v>
          </cell>
          <cell r="U13">
            <v>26.1875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0.5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1.5</v>
          </cell>
          <cell r="AH13">
            <v>26</v>
          </cell>
          <cell r="AI13">
            <v>0</v>
          </cell>
          <cell r="AJ13">
            <v>11.5</v>
          </cell>
          <cell r="AK13"/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9845493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187981</v>
          </cell>
          <cell r="AY13">
            <v>0</v>
          </cell>
          <cell r="AZ13">
            <v>0</v>
          </cell>
          <cell r="BA13">
            <v>300000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3225000</v>
          </cell>
          <cell r="BG13">
            <v>105739</v>
          </cell>
          <cell r="BH13">
            <v>780000</v>
          </cell>
          <cell r="BI13">
            <v>0</v>
          </cell>
          <cell r="BJ13"/>
          <cell r="BK13"/>
          <cell r="BL13"/>
          <cell r="BM13">
            <v>810667</v>
          </cell>
          <cell r="BN13"/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15254880</v>
          </cell>
          <cell r="BU13">
            <v>1026375</v>
          </cell>
          <cell r="BV13">
            <v>40000</v>
          </cell>
          <cell r="BW13">
            <v>11000000</v>
          </cell>
          <cell r="BX13"/>
          <cell r="BY13">
            <v>0</v>
          </cell>
          <cell r="BZ13">
            <v>14204658</v>
          </cell>
          <cell r="CA13">
            <v>2178283</v>
          </cell>
          <cell r="CB13">
            <v>108914</v>
          </cell>
          <cell r="CC13"/>
          <cell r="CD13">
            <v>1175289</v>
          </cell>
          <cell r="CE13">
            <v>14079591</v>
          </cell>
        </row>
        <row r="14">
          <cell r="B14" t="str">
            <v>240343</v>
          </cell>
          <cell r="C14" t="str">
            <v>Nguyễn Thị Thu Xuân</v>
          </cell>
          <cell r="D14">
            <v>8128486275</v>
          </cell>
          <cell r="E14">
            <v>1046266661</v>
          </cell>
          <cell r="F14">
            <v>45369</v>
          </cell>
          <cell r="G14" t="str">
            <v>Offer</v>
          </cell>
          <cell r="H14"/>
          <cell r="I14"/>
          <cell r="J14"/>
          <cell r="K14"/>
          <cell r="L14">
            <v>11125000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3675000</v>
          </cell>
          <cell r="R14">
            <v>14800000</v>
          </cell>
          <cell r="S14">
            <v>427884.61538461538</v>
          </cell>
          <cell r="T14">
            <v>53485.576923076922</v>
          </cell>
          <cell r="U14">
            <v>27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1.5</v>
          </cell>
          <cell r="AH14">
            <v>27</v>
          </cell>
          <cell r="AI14">
            <v>0</v>
          </cell>
          <cell r="AJ14">
            <v>12.4</v>
          </cell>
          <cell r="AK14"/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11552885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/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3675000</v>
          </cell>
          <cell r="BG14">
            <v>120343</v>
          </cell>
          <cell r="BH14">
            <v>810000</v>
          </cell>
          <cell r="BI14">
            <v>0</v>
          </cell>
          <cell r="BJ14"/>
          <cell r="BK14"/>
          <cell r="BL14"/>
          <cell r="BM14">
            <v>994832</v>
          </cell>
          <cell r="BN14"/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17153060</v>
          </cell>
          <cell r="BU14">
            <v>1168125</v>
          </cell>
          <cell r="BV14">
            <v>40000</v>
          </cell>
          <cell r="BW14">
            <v>11000000</v>
          </cell>
          <cell r="BX14">
            <v>1</v>
          </cell>
          <cell r="BY14">
            <v>4400000</v>
          </cell>
          <cell r="BZ14">
            <v>16011449</v>
          </cell>
          <cell r="CA14">
            <v>0</v>
          </cell>
          <cell r="CB14">
            <v>0</v>
          </cell>
          <cell r="CC14"/>
          <cell r="CD14">
            <v>1208125</v>
          </cell>
          <cell r="CE14">
            <v>15944935</v>
          </cell>
        </row>
        <row r="15">
          <cell r="B15" t="str">
            <v>240546</v>
          </cell>
          <cell r="C15" t="str">
            <v>Nguyễn Thị Loan</v>
          </cell>
          <cell r="D15">
            <v>8423366578</v>
          </cell>
          <cell r="E15">
            <v>1048464258</v>
          </cell>
          <cell r="F15">
            <v>45421</v>
          </cell>
          <cell r="G15" t="str">
            <v>Offer</v>
          </cell>
          <cell r="H15"/>
          <cell r="I15"/>
          <cell r="J15"/>
          <cell r="K15"/>
          <cell r="L15">
            <v>9675000</v>
          </cell>
          <cell r="M15">
            <v>0</v>
          </cell>
          <cell r="N15">
            <v>0</v>
          </cell>
          <cell r="O15">
            <v>0</v>
          </cell>
          <cell r="P15">
            <v>100000</v>
          </cell>
          <cell r="Q15">
            <v>3225000</v>
          </cell>
          <cell r="R15">
            <v>13000000</v>
          </cell>
          <cell r="S15">
            <v>372115.38461538462</v>
          </cell>
          <cell r="T15">
            <v>46514.423076923078</v>
          </cell>
          <cell r="U15">
            <v>26.875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1.5</v>
          </cell>
          <cell r="AH15">
            <v>27</v>
          </cell>
          <cell r="AI15">
            <v>0</v>
          </cell>
          <cell r="AJ15">
            <v>13.5</v>
          </cell>
          <cell r="AK15"/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10000601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/>
          <cell r="BB15">
            <v>0</v>
          </cell>
          <cell r="BC15">
            <v>0</v>
          </cell>
          <cell r="BD15">
            <v>0</v>
          </cell>
          <cell r="BE15">
            <v>100000</v>
          </cell>
          <cell r="BF15">
            <v>3225000</v>
          </cell>
          <cell r="BG15">
            <v>104657</v>
          </cell>
          <cell r="BH15">
            <v>810000</v>
          </cell>
          <cell r="BI15">
            <v>0</v>
          </cell>
          <cell r="BJ15"/>
          <cell r="BK15"/>
          <cell r="BL15"/>
          <cell r="BM15">
            <v>941917</v>
          </cell>
          <cell r="BN15"/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15182175</v>
          </cell>
          <cell r="BU15">
            <v>1015875</v>
          </cell>
          <cell r="BV15">
            <v>40000</v>
          </cell>
          <cell r="BW15">
            <v>11000000</v>
          </cell>
          <cell r="BX15">
            <v>1</v>
          </cell>
          <cell r="BY15">
            <v>4400000</v>
          </cell>
          <cell r="BZ15">
            <v>14058203</v>
          </cell>
          <cell r="CA15">
            <v>0</v>
          </cell>
          <cell r="CB15">
            <v>0</v>
          </cell>
          <cell r="CC15"/>
          <cell r="CD15">
            <v>1055875</v>
          </cell>
          <cell r="CE15">
            <v>14126300</v>
          </cell>
        </row>
        <row r="16">
          <cell r="B16" t="str">
            <v>240752</v>
          </cell>
          <cell r="C16" t="str">
            <v>Ngô Thục Oanh</v>
          </cell>
          <cell r="D16">
            <v>8745913056</v>
          </cell>
          <cell r="E16">
            <v>9368341920</v>
          </cell>
          <cell r="F16">
            <v>45490</v>
          </cell>
          <cell r="G16" t="str">
            <v>Offer</v>
          </cell>
          <cell r="H16"/>
          <cell r="I16"/>
          <cell r="J16"/>
          <cell r="K16"/>
          <cell r="L16">
            <v>10350000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3450000</v>
          </cell>
          <cell r="R16">
            <v>13800000</v>
          </cell>
          <cell r="S16">
            <v>398076.92307692306</v>
          </cell>
          <cell r="T16">
            <v>49759.615384615383</v>
          </cell>
          <cell r="U16">
            <v>25.875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1.5</v>
          </cell>
          <cell r="AH16">
            <v>26</v>
          </cell>
          <cell r="AI16">
            <v>0</v>
          </cell>
          <cell r="AJ16">
            <v>10.5</v>
          </cell>
          <cell r="AK16"/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10300240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398077</v>
          </cell>
          <cell r="AY16">
            <v>0</v>
          </cell>
          <cell r="AZ16">
            <v>0</v>
          </cell>
          <cell r="BA16"/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3450000</v>
          </cell>
          <cell r="BG16">
            <v>111959</v>
          </cell>
          <cell r="BH16">
            <v>780000</v>
          </cell>
          <cell r="BI16">
            <v>0</v>
          </cell>
          <cell r="BJ16"/>
          <cell r="BK16"/>
          <cell r="BL16"/>
          <cell r="BM16">
            <v>783714</v>
          </cell>
          <cell r="BN16"/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15823990</v>
          </cell>
          <cell r="BU16">
            <v>1086750</v>
          </cell>
          <cell r="BV16">
            <v>40000</v>
          </cell>
          <cell r="BW16">
            <v>11000000</v>
          </cell>
          <cell r="BX16"/>
          <cell r="BY16">
            <v>0</v>
          </cell>
          <cell r="BZ16">
            <v>14782752</v>
          </cell>
          <cell r="CA16">
            <v>2696002</v>
          </cell>
          <cell r="CB16">
            <v>134800</v>
          </cell>
          <cell r="CC16"/>
          <cell r="CD16">
            <v>1261550</v>
          </cell>
          <cell r="CE16">
            <v>14562440</v>
          </cell>
        </row>
        <row r="17">
          <cell r="B17" t="str">
            <v>250261</v>
          </cell>
          <cell r="C17" t="str">
            <v>Trần Vi Tuyền</v>
          </cell>
          <cell r="D17">
            <v>8432284794</v>
          </cell>
          <cell r="E17">
            <v>1055676960</v>
          </cell>
          <cell r="F17">
            <v>45712</v>
          </cell>
          <cell r="G17" t="str">
            <v>Offer</v>
          </cell>
          <cell r="H17"/>
          <cell r="I17"/>
          <cell r="J17"/>
          <cell r="K17"/>
          <cell r="L17">
            <v>9750000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3250000</v>
          </cell>
          <cell r="R17">
            <v>13000000</v>
          </cell>
          <cell r="S17">
            <v>375000</v>
          </cell>
          <cell r="T17">
            <v>46875</v>
          </cell>
          <cell r="U17">
            <v>25.8125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1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1.5</v>
          </cell>
          <cell r="AH17">
            <v>26</v>
          </cell>
          <cell r="AI17">
            <v>0</v>
          </cell>
          <cell r="AJ17">
            <v>3</v>
          </cell>
          <cell r="AK17"/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9679688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375000</v>
          </cell>
          <cell r="AY17">
            <v>0</v>
          </cell>
          <cell r="AZ17">
            <v>0</v>
          </cell>
          <cell r="BA17">
            <v>300000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3250000</v>
          </cell>
          <cell r="BG17">
            <v>105469</v>
          </cell>
          <cell r="BH17">
            <v>780000</v>
          </cell>
          <cell r="BI17">
            <v>0</v>
          </cell>
          <cell r="BJ17"/>
          <cell r="BK17"/>
          <cell r="BL17"/>
          <cell r="BM17">
            <v>210938</v>
          </cell>
          <cell r="BN17"/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14701095</v>
          </cell>
          <cell r="BU17">
            <v>1023750</v>
          </cell>
          <cell r="BV17">
            <v>40000</v>
          </cell>
          <cell r="BW17">
            <v>11000000</v>
          </cell>
          <cell r="BX17"/>
          <cell r="BY17">
            <v>0</v>
          </cell>
          <cell r="BZ17">
            <v>13850782</v>
          </cell>
          <cell r="CA17">
            <v>1827032</v>
          </cell>
          <cell r="CB17">
            <v>91352</v>
          </cell>
          <cell r="CC17"/>
          <cell r="CD17">
            <v>1155102</v>
          </cell>
          <cell r="CE17">
            <v>13545993</v>
          </cell>
        </row>
        <row r="18">
          <cell r="B18" t="str">
            <v>250366</v>
          </cell>
          <cell r="C18" t="str">
            <v>Bùi Thị Hạnh Duyên</v>
          </cell>
          <cell r="D18" t="str">
            <v>8796530823 </v>
          </cell>
          <cell r="E18">
            <v>1017717289</v>
          </cell>
          <cell r="F18">
            <v>45733</v>
          </cell>
          <cell r="G18" t="str">
            <v>Offer</v>
          </cell>
          <cell r="H18"/>
          <cell r="I18"/>
          <cell r="J18"/>
          <cell r="K18"/>
          <cell r="L18">
            <v>7125000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2375000</v>
          </cell>
          <cell r="R18">
            <v>9500000</v>
          </cell>
          <cell r="S18">
            <v>274038.46153846156</v>
          </cell>
          <cell r="T18">
            <v>34254.807692307695</v>
          </cell>
          <cell r="U18">
            <v>27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1.5</v>
          </cell>
          <cell r="AH18">
            <v>27</v>
          </cell>
          <cell r="AI18">
            <v>0</v>
          </cell>
          <cell r="AJ18">
            <v>9.75</v>
          </cell>
          <cell r="AK18"/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7399038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/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2375000</v>
          </cell>
          <cell r="BG18">
            <v>77073</v>
          </cell>
          <cell r="BH18">
            <v>810000</v>
          </cell>
          <cell r="BI18">
            <v>0</v>
          </cell>
          <cell r="BJ18"/>
          <cell r="BK18"/>
          <cell r="BL18"/>
          <cell r="BM18">
            <v>500977</v>
          </cell>
          <cell r="BN18"/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11162088</v>
          </cell>
          <cell r="BU18">
            <v>748125</v>
          </cell>
          <cell r="BV18">
            <v>40000</v>
          </cell>
          <cell r="BW18">
            <v>11000000</v>
          </cell>
          <cell r="BX18"/>
          <cell r="BY18">
            <v>0</v>
          </cell>
          <cell r="BZ18">
            <v>10185096</v>
          </cell>
          <cell r="CA18">
            <v>0</v>
          </cell>
          <cell r="CB18">
            <v>0</v>
          </cell>
          <cell r="CC18"/>
          <cell r="CD18">
            <v>788125</v>
          </cell>
          <cell r="CE18">
            <v>10373963</v>
          </cell>
        </row>
        <row r="19">
          <cell r="B19" t="str">
            <v>250368</v>
          </cell>
          <cell r="C19" t="str">
            <v>Nguyễn Thị Mỹ Hiền</v>
          </cell>
          <cell r="D19" t="str">
            <v>8858756982 </v>
          </cell>
          <cell r="E19">
            <v>1033213610</v>
          </cell>
          <cell r="F19">
            <v>45742</v>
          </cell>
          <cell r="G19" t="str">
            <v>Offer</v>
          </cell>
          <cell r="H19"/>
          <cell r="I19"/>
          <cell r="J19"/>
          <cell r="K19"/>
          <cell r="L19">
            <v>7500000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2500000</v>
          </cell>
          <cell r="R19">
            <v>10000000</v>
          </cell>
          <cell r="S19">
            <v>288461.53846153844</v>
          </cell>
          <cell r="T19">
            <v>36057.692307692305</v>
          </cell>
          <cell r="U19">
            <v>26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1.5</v>
          </cell>
          <cell r="AH19">
            <v>26</v>
          </cell>
          <cell r="AI19">
            <v>0</v>
          </cell>
          <cell r="AJ19">
            <v>6.5</v>
          </cell>
          <cell r="AK19"/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7500000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288462</v>
          </cell>
          <cell r="AY19">
            <v>0</v>
          </cell>
          <cell r="AZ19">
            <v>0</v>
          </cell>
          <cell r="BA19"/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2500000</v>
          </cell>
          <cell r="BG19">
            <v>81130</v>
          </cell>
          <cell r="BH19">
            <v>780000</v>
          </cell>
          <cell r="BI19">
            <v>0</v>
          </cell>
          <cell r="BJ19"/>
          <cell r="BK19"/>
          <cell r="BL19"/>
          <cell r="BM19">
            <v>351563</v>
          </cell>
          <cell r="BN19"/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11501155</v>
          </cell>
          <cell r="BU19">
            <v>787500</v>
          </cell>
          <cell r="BV19">
            <v>40000</v>
          </cell>
          <cell r="BW19">
            <v>11000000</v>
          </cell>
          <cell r="BX19"/>
          <cell r="BY19">
            <v>0</v>
          </cell>
          <cell r="BZ19">
            <v>10603967</v>
          </cell>
          <cell r="CA19">
            <v>0</v>
          </cell>
          <cell r="CB19">
            <v>0</v>
          </cell>
          <cell r="CC19"/>
          <cell r="CD19">
            <v>827500</v>
          </cell>
          <cell r="CE19">
            <v>10673655</v>
          </cell>
        </row>
        <row r="20">
          <cell r="B20" t="str">
            <v>250471</v>
          </cell>
          <cell r="C20" t="str">
            <v>Lương Thanh Lâm</v>
          </cell>
          <cell r="D20">
            <v>8783808575</v>
          </cell>
          <cell r="E20" t="str">
            <v>0841000021603</v>
          </cell>
          <cell r="F20">
            <v>45773</v>
          </cell>
          <cell r="G20" t="str">
            <v>Offer</v>
          </cell>
          <cell r="H20"/>
          <cell r="I20"/>
          <cell r="J20"/>
          <cell r="K20"/>
          <cell r="L20">
            <v>7875000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2625000</v>
          </cell>
          <cell r="R20">
            <v>10500000</v>
          </cell>
          <cell r="S20">
            <v>302884.61538461538</v>
          </cell>
          <cell r="T20">
            <v>37860.576923076922</v>
          </cell>
          <cell r="U20">
            <v>26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/>
          <cell r="AH20">
            <v>26</v>
          </cell>
          <cell r="AI20">
            <v>0</v>
          </cell>
          <cell r="AJ20">
            <v>24.5</v>
          </cell>
          <cell r="AK20"/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7875000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302885</v>
          </cell>
          <cell r="AY20">
            <v>0</v>
          </cell>
          <cell r="AZ20">
            <v>0</v>
          </cell>
          <cell r="BA20"/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2625000</v>
          </cell>
          <cell r="BG20">
            <v>0</v>
          </cell>
          <cell r="BH20">
            <v>780000</v>
          </cell>
          <cell r="BI20">
            <v>0</v>
          </cell>
          <cell r="BJ20"/>
          <cell r="BK20"/>
          <cell r="BL20"/>
          <cell r="BM20">
            <v>1391376</v>
          </cell>
          <cell r="BN20"/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12974261</v>
          </cell>
          <cell r="BU20">
            <v>826875</v>
          </cell>
          <cell r="BV20">
            <v>40000</v>
          </cell>
          <cell r="BW20">
            <v>11000000</v>
          </cell>
          <cell r="BX20"/>
          <cell r="BY20">
            <v>0</v>
          </cell>
          <cell r="BZ20">
            <v>11730469</v>
          </cell>
          <cell r="CA20">
            <v>0</v>
          </cell>
          <cell r="CB20">
            <v>0</v>
          </cell>
          <cell r="CC20"/>
          <cell r="CD20">
            <v>866875</v>
          </cell>
          <cell r="CE20">
            <v>12107386</v>
          </cell>
        </row>
        <row r="21">
          <cell r="B21" t="str">
            <v>250672</v>
          </cell>
          <cell r="C21" t="str">
            <v>Nguyễn Nha Trang</v>
          </cell>
          <cell r="D21">
            <v>8361580378</v>
          </cell>
          <cell r="E21" t="str">
            <v>1031554998</v>
          </cell>
          <cell r="F21">
            <v>45826</v>
          </cell>
          <cell r="G21" t="str">
            <v>Offer</v>
          </cell>
          <cell r="H21"/>
          <cell r="I21"/>
          <cell r="J21"/>
          <cell r="K21"/>
          <cell r="L21">
            <v>10500000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3500000</v>
          </cell>
          <cell r="R21">
            <v>14000000</v>
          </cell>
          <cell r="S21">
            <v>403846.15384615387</v>
          </cell>
          <cell r="T21">
            <v>50481</v>
          </cell>
          <cell r="U21">
            <v>27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1.5</v>
          </cell>
          <cell r="AH21">
            <v>27</v>
          </cell>
          <cell r="AI21">
            <v>0</v>
          </cell>
          <cell r="AJ21">
            <v>4.5</v>
          </cell>
          <cell r="AK21"/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10903846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500000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3500000</v>
          </cell>
          <cell r="BG21">
            <v>113582</v>
          </cell>
          <cell r="BH21">
            <v>810000</v>
          </cell>
          <cell r="BI21">
            <v>0</v>
          </cell>
          <cell r="BJ21"/>
          <cell r="BK21"/>
          <cell r="BL21"/>
          <cell r="BM21">
            <v>340745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16168173</v>
          </cell>
          <cell r="BU21">
            <v>1102500</v>
          </cell>
          <cell r="BV21">
            <v>40000</v>
          </cell>
          <cell r="BW21">
            <v>11000000</v>
          </cell>
          <cell r="BX21"/>
          <cell r="BY21">
            <v>0</v>
          </cell>
          <cell r="BZ21">
            <v>15244591</v>
          </cell>
          <cell r="CA21">
            <v>3142091</v>
          </cell>
          <cell r="CB21">
            <v>157105</v>
          </cell>
          <cell r="CC21"/>
          <cell r="CD21">
            <v>1299605</v>
          </cell>
          <cell r="CE21">
            <v>14868568</v>
          </cell>
        </row>
        <row r="22">
          <cell r="B22">
            <v>250886</v>
          </cell>
          <cell r="C22" t="str">
            <v>Hồ Bá Quy</v>
          </cell>
          <cell r="D22"/>
          <cell r="E22">
            <v>1022297702</v>
          </cell>
          <cell r="F22">
            <v>45896</v>
          </cell>
          <cell r="G22" t="str">
            <v>Offer</v>
          </cell>
          <cell r="H22">
            <v>10837500</v>
          </cell>
          <cell r="I22">
            <v>100000</v>
          </cell>
          <cell r="J22">
            <v>3612500</v>
          </cell>
          <cell r="K22">
            <v>14550000</v>
          </cell>
          <cell r="L22"/>
          <cell r="M22"/>
          <cell r="N22"/>
          <cell r="O22"/>
          <cell r="P22"/>
          <cell r="Q22"/>
          <cell r="R22"/>
          <cell r="S22">
            <v>416826.92307692306</v>
          </cell>
          <cell r="T22">
            <v>52103</v>
          </cell>
          <cell r="U22">
            <v>27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/>
          <cell r="AH22">
            <v>27</v>
          </cell>
          <cell r="AI22">
            <v>0</v>
          </cell>
          <cell r="AJ22">
            <v>13.5</v>
          </cell>
          <cell r="AK22"/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11254327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/>
          <cell r="BB22">
            <v>0</v>
          </cell>
          <cell r="BC22">
            <v>0</v>
          </cell>
          <cell r="BD22">
            <v>0</v>
          </cell>
          <cell r="BE22">
            <v>100000</v>
          </cell>
          <cell r="BF22">
            <v>3612500</v>
          </cell>
          <cell r="BG22"/>
          <cell r="BH22">
            <v>810000</v>
          </cell>
          <cell r="BI22">
            <v>0</v>
          </cell>
          <cell r="BJ22"/>
          <cell r="BK22"/>
          <cell r="BL22"/>
          <cell r="BM22">
            <v>1055093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16831920</v>
          </cell>
          <cell r="BU22"/>
          <cell r="BV22"/>
          <cell r="BW22">
            <v>11000000</v>
          </cell>
          <cell r="BX22"/>
          <cell r="BY22">
            <v>0</v>
          </cell>
          <cell r="BZ22">
            <v>15670222</v>
          </cell>
          <cell r="CA22">
            <v>4670222</v>
          </cell>
          <cell r="CB22">
            <v>233511</v>
          </cell>
          <cell r="CC22"/>
          <cell r="CD22">
            <v>233511</v>
          </cell>
          <cell r="CE22">
            <v>16598409</v>
          </cell>
        </row>
        <row r="23">
          <cell r="B23" t="str">
            <v>190213</v>
          </cell>
          <cell r="C23" t="str">
            <v>Lê Minh Phúc</v>
          </cell>
          <cell r="D23">
            <v>8093126342</v>
          </cell>
          <cell r="E23" t="str">
            <v>0281000567553</v>
          </cell>
          <cell r="F23">
            <v>43507</v>
          </cell>
          <cell r="G23" t="str">
            <v>Driver</v>
          </cell>
          <cell r="H23"/>
          <cell r="I23"/>
          <cell r="J23"/>
          <cell r="K23"/>
          <cell r="L23">
            <v>8550000</v>
          </cell>
          <cell r="M23">
            <v>0</v>
          </cell>
          <cell r="N23">
            <v>0</v>
          </cell>
          <cell r="O23">
            <v>200000</v>
          </cell>
          <cell r="P23">
            <v>100000</v>
          </cell>
          <cell r="Q23">
            <v>2850000</v>
          </cell>
          <cell r="R23">
            <v>11700000</v>
          </cell>
          <cell r="S23">
            <v>328846.15384615387</v>
          </cell>
          <cell r="T23">
            <v>41105.769230769234</v>
          </cell>
          <cell r="U23">
            <v>27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/>
          <cell r="AH23">
            <v>27</v>
          </cell>
          <cell r="AI23">
            <v>15</v>
          </cell>
          <cell r="AJ23">
            <v>81.5</v>
          </cell>
          <cell r="AK23"/>
          <cell r="AL23">
            <v>0.5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8878846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/>
          <cell r="BB23">
            <v>0</v>
          </cell>
          <cell r="BC23">
            <v>0</v>
          </cell>
          <cell r="BD23">
            <v>200000</v>
          </cell>
          <cell r="BE23">
            <v>100000</v>
          </cell>
          <cell r="BF23">
            <v>2850000</v>
          </cell>
          <cell r="BG23">
            <v>0</v>
          </cell>
          <cell r="BH23">
            <v>810000</v>
          </cell>
          <cell r="BI23">
            <v>375000</v>
          </cell>
          <cell r="BJ23"/>
          <cell r="BK23"/>
          <cell r="BL23"/>
          <cell r="BM23">
            <v>5025180</v>
          </cell>
          <cell r="BN23"/>
          <cell r="BO23">
            <v>43161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18282187</v>
          </cell>
          <cell r="BU23">
            <v>918750</v>
          </cell>
          <cell r="BV23">
            <v>40000</v>
          </cell>
          <cell r="BW23">
            <v>11000000</v>
          </cell>
          <cell r="BX23">
            <v>1</v>
          </cell>
          <cell r="BY23">
            <v>4400000</v>
          </cell>
          <cell r="BZ23">
            <v>15399519</v>
          </cell>
          <cell r="CA23">
            <v>0</v>
          </cell>
          <cell r="CB23">
            <v>0</v>
          </cell>
          <cell r="CC23"/>
          <cell r="CD23">
            <v>958750</v>
          </cell>
          <cell r="CE23">
            <v>17323437</v>
          </cell>
        </row>
        <row r="24">
          <cell r="B24" t="str">
            <v>210320</v>
          </cell>
          <cell r="C24" t="str">
            <v>Nguyễn Văn Mơ</v>
          </cell>
          <cell r="D24">
            <v>8346844273</v>
          </cell>
          <cell r="E24" t="str">
            <v>1019950352</v>
          </cell>
          <cell r="F24">
            <v>44273</v>
          </cell>
          <cell r="G24" t="str">
            <v>Driver</v>
          </cell>
          <cell r="H24"/>
          <cell r="I24"/>
          <cell r="J24"/>
          <cell r="K24"/>
          <cell r="L24">
            <v>8135000</v>
          </cell>
          <cell r="M24">
            <v>0</v>
          </cell>
          <cell r="N24">
            <v>0</v>
          </cell>
          <cell r="O24">
            <v>200000</v>
          </cell>
          <cell r="P24">
            <v>100000</v>
          </cell>
          <cell r="Q24">
            <v>2265000</v>
          </cell>
          <cell r="R24">
            <v>10700000</v>
          </cell>
          <cell r="S24">
            <v>312884.61538461538</v>
          </cell>
          <cell r="T24">
            <v>39110.576923076922</v>
          </cell>
          <cell r="U24">
            <v>27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/>
          <cell r="AH24">
            <v>27</v>
          </cell>
          <cell r="AI24">
            <v>9</v>
          </cell>
          <cell r="AJ24">
            <v>60</v>
          </cell>
          <cell r="AK24"/>
          <cell r="AL24">
            <v>1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8447885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/>
          <cell r="BB24">
            <v>0</v>
          </cell>
          <cell r="BC24">
            <v>0</v>
          </cell>
          <cell r="BD24">
            <v>200000</v>
          </cell>
          <cell r="BE24">
            <v>100000</v>
          </cell>
          <cell r="BF24">
            <v>2265000</v>
          </cell>
          <cell r="BG24">
            <v>0</v>
          </cell>
          <cell r="BH24">
            <v>810000</v>
          </cell>
          <cell r="BI24">
            <v>225000</v>
          </cell>
          <cell r="BJ24"/>
          <cell r="BK24"/>
          <cell r="BL24"/>
          <cell r="BM24">
            <v>3519952</v>
          </cell>
          <cell r="BN24"/>
          <cell r="BO24">
            <v>82132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15649969</v>
          </cell>
          <cell r="BU24">
            <v>875175</v>
          </cell>
          <cell r="BV24">
            <v>40000</v>
          </cell>
          <cell r="BW24">
            <v>11000000</v>
          </cell>
          <cell r="BX24">
            <v>2</v>
          </cell>
          <cell r="BY24">
            <v>8800000</v>
          </cell>
          <cell r="BZ24">
            <v>13398630</v>
          </cell>
          <cell r="CA24">
            <v>0</v>
          </cell>
          <cell r="CB24">
            <v>0</v>
          </cell>
          <cell r="CC24"/>
          <cell r="CD24">
            <v>915175</v>
          </cell>
          <cell r="CE24">
            <v>14734794</v>
          </cell>
        </row>
        <row r="25">
          <cell r="B25" t="str">
            <v>220325</v>
          </cell>
          <cell r="C25" t="str">
            <v>Lương Văn Đước</v>
          </cell>
          <cell r="D25">
            <v>8096836220</v>
          </cell>
          <cell r="E25" t="str">
            <v>0251002701433</v>
          </cell>
          <cell r="F25">
            <v>44638</v>
          </cell>
          <cell r="G25" t="str">
            <v>Driver</v>
          </cell>
          <cell r="H25"/>
          <cell r="I25"/>
          <cell r="J25"/>
          <cell r="K25"/>
          <cell r="L25">
            <v>7600000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2500000</v>
          </cell>
          <cell r="R25">
            <v>10100000</v>
          </cell>
          <cell r="S25">
            <v>292307.69230769231</v>
          </cell>
          <cell r="T25">
            <v>36538.461538461539</v>
          </cell>
          <cell r="U25">
            <v>26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/>
          <cell r="AH25">
            <v>26</v>
          </cell>
          <cell r="AI25">
            <v>4</v>
          </cell>
          <cell r="AJ25">
            <v>44.5</v>
          </cell>
          <cell r="AK25"/>
          <cell r="AL25">
            <v>1.5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7600000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292308</v>
          </cell>
          <cell r="AY25">
            <v>0</v>
          </cell>
          <cell r="AZ25">
            <v>0</v>
          </cell>
          <cell r="BA25"/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2500000</v>
          </cell>
          <cell r="BG25">
            <v>0</v>
          </cell>
          <cell r="BH25">
            <v>780000</v>
          </cell>
          <cell r="BI25">
            <v>100000</v>
          </cell>
          <cell r="BJ25"/>
          <cell r="BK25"/>
          <cell r="BL25"/>
          <cell r="BM25">
            <v>2438942</v>
          </cell>
          <cell r="BN25"/>
          <cell r="BO25">
            <v>115096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13826346</v>
          </cell>
          <cell r="BU25">
            <v>798000</v>
          </cell>
          <cell r="BV25">
            <v>40000</v>
          </cell>
          <cell r="BW25">
            <v>11000000</v>
          </cell>
          <cell r="BX25">
            <v>2</v>
          </cell>
          <cell r="BY25">
            <v>8800000</v>
          </cell>
          <cell r="BZ25">
            <v>12073077</v>
          </cell>
          <cell r="CA25">
            <v>0</v>
          </cell>
          <cell r="CB25">
            <v>0</v>
          </cell>
          <cell r="CC25"/>
          <cell r="CD25">
            <v>838000</v>
          </cell>
          <cell r="CE25">
            <v>12988346</v>
          </cell>
        </row>
        <row r="26">
          <cell r="B26" t="str">
            <v>230232</v>
          </cell>
          <cell r="C26" t="str">
            <v>Danh Trọng</v>
          </cell>
          <cell r="D26">
            <v>8444234082</v>
          </cell>
          <cell r="E26" t="str">
            <v>0281000502610</v>
          </cell>
          <cell r="F26">
            <v>44972</v>
          </cell>
          <cell r="G26" t="str">
            <v>Driver</v>
          </cell>
          <cell r="H26"/>
          <cell r="I26"/>
          <cell r="J26"/>
          <cell r="K26"/>
          <cell r="L26">
            <v>6900000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2300000</v>
          </cell>
          <cell r="R26">
            <v>9200000</v>
          </cell>
          <cell r="S26">
            <v>265384.61538461538</v>
          </cell>
          <cell r="T26">
            <v>33173.076923076922</v>
          </cell>
          <cell r="U26">
            <v>27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/>
          <cell r="AH26">
            <v>27</v>
          </cell>
          <cell r="AI26">
            <v>10</v>
          </cell>
          <cell r="AJ26">
            <v>59</v>
          </cell>
          <cell r="AK26"/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7165385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/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2300000</v>
          </cell>
          <cell r="BG26">
            <v>0</v>
          </cell>
          <cell r="BH26">
            <v>810000</v>
          </cell>
          <cell r="BI26">
            <v>250000</v>
          </cell>
          <cell r="BJ26"/>
          <cell r="BK26"/>
          <cell r="BL26"/>
          <cell r="BM26">
            <v>2935817</v>
          </cell>
          <cell r="BN26"/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13461202</v>
          </cell>
          <cell r="BU26">
            <v>724500</v>
          </cell>
          <cell r="BV26">
            <v>40000</v>
          </cell>
          <cell r="BW26">
            <v>11000000</v>
          </cell>
          <cell r="BX26"/>
          <cell r="BY26">
            <v>0</v>
          </cell>
          <cell r="BZ26">
            <v>11422596</v>
          </cell>
          <cell r="CA26">
            <v>0</v>
          </cell>
          <cell r="CB26">
            <v>0</v>
          </cell>
          <cell r="CC26"/>
          <cell r="CD26">
            <v>764500</v>
          </cell>
          <cell r="CE26">
            <v>12696702</v>
          </cell>
        </row>
        <row r="27">
          <cell r="B27" t="str">
            <v>231240</v>
          </cell>
          <cell r="C27" t="str">
            <v>Phan Trọng Nghĩa</v>
          </cell>
          <cell r="D27">
            <v>8297677549</v>
          </cell>
          <cell r="E27">
            <v>1043639347</v>
          </cell>
          <cell r="F27">
            <v>45265</v>
          </cell>
          <cell r="G27" t="str">
            <v>Driver</v>
          </cell>
          <cell r="H27"/>
          <cell r="I27"/>
          <cell r="J27"/>
          <cell r="K27"/>
          <cell r="L27">
            <v>8025000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2675000</v>
          </cell>
          <cell r="R27">
            <v>10700000</v>
          </cell>
          <cell r="S27">
            <v>308653.84615384613</v>
          </cell>
          <cell r="T27">
            <v>38581.730769230766</v>
          </cell>
          <cell r="U27">
            <v>27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/>
          <cell r="AH27">
            <v>27</v>
          </cell>
          <cell r="AI27">
            <v>4</v>
          </cell>
          <cell r="AJ27">
            <v>43.5</v>
          </cell>
          <cell r="AK27"/>
          <cell r="AL27">
            <v>2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8333654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/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2675000</v>
          </cell>
          <cell r="BG27">
            <v>0</v>
          </cell>
          <cell r="BH27">
            <v>810000</v>
          </cell>
          <cell r="BI27">
            <v>100000</v>
          </cell>
          <cell r="BJ27"/>
          <cell r="BK27"/>
          <cell r="BL27"/>
          <cell r="BM27">
            <v>2517458</v>
          </cell>
          <cell r="BN27"/>
          <cell r="BO27">
            <v>162043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14598155</v>
          </cell>
          <cell r="BU27">
            <v>842625</v>
          </cell>
          <cell r="BV27">
            <v>40000</v>
          </cell>
          <cell r="BW27">
            <v>11000000</v>
          </cell>
          <cell r="BX27">
            <v>2</v>
          </cell>
          <cell r="BY27">
            <v>8800000</v>
          </cell>
          <cell r="BZ27">
            <v>12764123</v>
          </cell>
          <cell r="CA27">
            <v>0</v>
          </cell>
          <cell r="CB27">
            <v>0</v>
          </cell>
          <cell r="CC27"/>
          <cell r="CD27">
            <v>882625</v>
          </cell>
          <cell r="CE27">
            <v>13715530</v>
          </cell>
        </row>
        <row r="28">
          <cell r="B28" t="str">
            <v>240750</v>
          </cell>
          <cell r="C28" t="str">
            <v>Nguyễn Thái Châu</v>
          </cell>
          <cell r="D28">
            <v>8930666228</v>
          </cell>
          <cell r="E28">
            <v>9822566225</v>
          </cell>
          <cell r="F28">
            <v>45481</v>
          </cell>
          <cell r="G28" t="str">
            <v>Driver</v>
          </cell>
          <cell r="H28"/>
          <cell r="I28"/>
          <cell r="J28"/>
          <cell r="K28"/>
          <cell r="L28">
            <v>7800000</v>
          </cell>
          <cell r="M28">
            <v>0</v>
          </cell>
          <cell r="N28">
            <v>0</v>
          </cell>
          <cell r="O28">
            <v>0</v>
          </cell>
          <cell r="P28">
            <v>200000</v>
          </cell>
          <cell r="Q28">
            <v>2500000</v>
          </cell>
          <cell r="R28">
            <v>10500000</v>
          </cell>
          <cell r="S28">
            <v>300000</v>
          </cell>
          <cell r="T28">
            <v>37500</v>
          </cell>
          <cell r="U28">
            <v>24.875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/>
          <cell r="AH28">
            <v>25</v>
          </cell>
          <cell r="AI28">
            <v>7</v>
          </cell>
          <cell r="AJ28">
            <v>41</v>
          </cell>
          <cell r="AK28"/>
          <cell r="AL28">
            <v>3.5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7462500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600000</v>
          </cell>
          <cell r="AY28">
            <v>0</v>
          </cell>
          <cell r="AZ28">
            <v>0</v>
          </cell>
          <cell r="BA28"/>
          <cell r="BB28">
            <v>0</v>
          </cell>
          <cell r="BC28">
            <v>0</v>
          </cell>
          <cell r="BD28">
            <v>0</v>
          </cell>
          <cell r="BE28">
            <v>200000</v>
          </cell>
          <cell r="BF28">
            <v>2500000</v>
          </cell>
          <cell r="BG28">
            <v>0</v>
          </cell>
          <cell r="BH28">
            <v>750000</v>
          </cell>
          <cell r="BI28">
            <v>175000</v>
          </cell>
          <cell r="BJ28"/>
          <cell r="BK28"/>
          <cell r="BL28"/>
          <cell r="BM28">
            <v>2306250</v>
          </cell>
          <cell r="BN28"/>
          <cell r="BO28">
            <v>275625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14269375</v>
          </cell>
          <cell r="BU28">
            <v>819000</v>
          </cell>
          <cell r="BV28">
            <v>40000</v>
          </cell>
          <cell r="BW28">
            <v>11000000</v>
          </cell>
          <cell r="BX28"/>
          <cell r="BY28">
            <v>0</v>
          </cell>
          <cell r="BZ28">
            <v>12431250</v>
          </cell>
          <cell r="CA28">
            <v>612250</v>
          </cell>
          <cell r="CB28">
            <v>30613</v>
          </cell>
          <cell r="CC28">
            <v>2000000</v>
          </cell>
          <cell r="CD28">
            <v>2889613</v>
          </cell>
          <cell r="CE28">
            <v>11379762</v>
          </cell>
        </row>
        <row r="29">
          <cell r="B29" t="str">
            <v>230131</v>
          </cell>
          <cell r="C29" t="str">
            <v>Vương Thị Lộc</v>
          </cell>
          <cell r="D29">
            <v>8402850900</v>
          </cell>
          <cell r="E29" t="str">
            <v>0121000743549</v>
          </cell>
          <cell r="F29">
            <v>44956</v>
          </cell>
          <cell r="G29" t="str">
            <v>Cleaner</v>
          </cell>
          <cell r="H29"/>
          <cell r="I29"/>
          <cell r="J29"/>
          <cell r="K29"/>
          <cell r="L29">
            <v>6990800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1890000</v>
          </cell>
          <cell r="R29">
            <v>8880800</v>
          </cell>
          <cell r="S29">
            <v>268876.92307692306</v>
          </cell>
          <cell r="T29">
            <v>33609.615384615383</v>
          </cell>
          <cell r="U29">
            <v>26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1</v>
          </cell>
          <cell r="AF29">
            <v>0</v>
          </cell>
          <cell r="AG29">
            <v>1.5</v>
          </cell>
          <cell r="AH29">
            <v>26</v>
          </cell>
          <cell r="AI29">
            <v>0</v>
          </cell>
          <cell r="AJ29">
            <v>0</v>
          </cell>
          <cell r="AK29"/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6990800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/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1890000</v>
          </cell>
          <cell r="BG29">
            <v>75622</v>
          </cell>
          <cell r="BH29">
            <v>780000</v>
          </cell>
          <cell r="BI29">
            <v>0</v>
          </cell>
          <cell r="BJ29"/>
          <cell r="BK29"/>
          <cell r="BL29"/>
          <cell r="BM29">
            <v>0</v>
          </cell>
          <cell r="BN29"/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9736422</v>
          </cell>
          <cell r="BU29">
            <v>734034</v>
          </cell>
          <cell r="BV29">
            <v>40000</v>
          </cell>
          <cell r="BW29">
            <v>11000000</v>
          </cell>
          <cell r="BX29"/>
          <cell r="BY29">
            <v>0</v>
          </cell>
          <cell r="BZ29">
            <v>8956422</v>
          </cell>
          <cell r="CA29">
            <v>0</v>
          </cell>
          <cell r="CB29">
            <v>0</v>
          </cell>
          <cell r="CC29"/>
          <cell r="CD29">
            <v>774034</v>
          </cell>
          <cell r="CE29">
            <v>8962388</v>
          </cell>
        </row>
        <row r="30">
          <cell r="B30" t="str">
            <v>250674</v>
          </cell>
          <cell r="C30" t="str">
            <v>Nguyễn Thị Hoa</v>
          </cell>
          <cell r="D30">
            <v>8347691904</v>
          </cell>
          <cell r="E30">
            <v>1328248601</v>
          </cell>
          <cell r="F30">
            <v>45539</v>
          </cell>
          <cell r="G30" t="str">
            <v>Cook</v>
          </cell>
          <cell r="H30"/>
          <cell r="I30"/>
          <cell r="J30"/>
          <cell r="K30"/>
          <cell r="L30">
            <v>10875000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3625000</v>
          </cell>
          <cell r="R30">
            <v>14500000</v>
          </cell>
          <cell r="S30">
            <v>418269.23076923075</v>
          </cell>
          <cell r="T30">
            <v>52283.653846153844</v>
          </cell>
          <cell r="U30">
            <v>27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1.5</v>
          </cell>
          <cell r="AH30">
            <v>27</v>
          </cell>
          <cell r="AI30">
            <v>0</v>
          </cell>
          <cell r="AJ30">
            <v>0</v>
          </cell>
          <cell r="AK30"/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11293269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/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3625000</v>
          </cell>
          <cell r="BG30">
            <v>117638</v>
          </cell>
          <cell r="BH30">
            <v>810000</v>
          </cell>
          <cell r="BI30">
            <v>0</v>
          </cell>
          <cell r="BJ30"/>
          <cell r="BK30"/>
          <cell r="BL30"/>
          <cell r="BM30">
            <v>0</v>
          </cell>
          <cell r="BN30"/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15845907</v>
          </cell>
          <cell r="BU30">
            <v>1141875</v>
          </cell>
          <cell r="BV30">
            <v>40000</v>
          </cell>
          <cell r="BW30">
            <v>11000000</v>
          </cell>
          <cell r="BX30">
            <v>2</v>
          </cell>
          <cell r="BY30">
            <v>8800000</v>
          </cell>
          <cell r="BZ30">
            <v>15035907</v>
          </cell>
          <cell r="CA30">
            <v>0</v>
          </cell>
          <cell r="CB30">
            <v>0</v>
          </cell>
          <cell r="CC30"/>
          <cell r="CD30">
            <v>1181875</v>
          </cell>
          <cell r="CE30">
            <v>14664032</v>
          </cell>
        </row>
        <row r="31">
          <cell r="B31"/>
          <cell r="C31" t="str">
            <v>OFFICE</v>
          </cell>
          <cell r="D31">
            <v>26</v>
          </cell>
          <cell r="E31"/>
          <cell r="F31"/>
          <cell r="G31"/>
          <cell r="H31">
            <v>15937500</v>
          </cell>
          <cell r="I31">
            <v>100000</v>
          </cell>
          <cell r="J31">
            <v>5312500</v>
          </cell>
          <cell r="K31">
            <v>21350000</v>
          </cell>
          <cell r="L31">
            <v>241900800</v>
          </cell>
          <cell r="M31">
            <v>0</v>
          </cell>
          <cell r="N31">
            <v>900000</v>
          </cell>
          <cell r="O31">
            <v>800000</v>
          </cell>
          <cell r="P31">
            <v>800000</v>
          </cell>
          <cell r="Q31">
            <v>78880000</v>
          </cell>
          <cell r="R31">
            <v>323280800</v>
          </cell>
          <cell r="S31">
            <v>9916857.692307692</v>
          </cell>
          <cell r="T31">
            <v>1239607.0769230768</v>
          </cell>
          <cell r="U31">
            <v>662.3125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14.5</v>
          </cell>
          <cell r="AC31">
            <v>0</v>
          </cell>
          <cell r="AD31">
            <v>0</v>
          </cell>
          <cell r="AE31">
            <v>1</v>
          </cell>
          <cell r="AF31">
            <v>0</v>
          </cell>
          <cell r="AG31">
            <v>24</v>
          </cell>
          <cell r="AH31">
            <v>664</v>
          </cell>
          <cell r="AI31">
            <v>49</v>
          </cell>
          <cell r="AJ31">
            <v>555.54999999999995</v>
          </cell>
          <cell r="AK31">
            <v>0</v>
          </cell>
          <cell r="AL31">
            <v>8.5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255562361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6391829</v>
          </cell>
          <cell r="AY31">
            <v>0</v>
          </cell>
          <cell r="AZ31">
            <v>0</v>
          </cell>
          <cell r="BA31">
            <v>1100000</v>
          </cell>
          <cell r="BB31">
            <v>0</v>
          </cell>
          <cell r="BC31">
            <v>900000</v>
          </cell>
          <cell r="BD31">
            <v>800000</v>
          </cell>
          <cell r="BE31">
            <v>900000</v>
          </cell>
          <cell r="BF31">
            <v>82819423</v>
          </cell>
          <cell r="BG31">
            <v>1906181</v>
          </cell>
          <cell r="BH31">
            <v>19920000</v>
          </cell>
          <cell r="BI31">
            <v>1225000</v>
          </cell>
          <cell r="BJ31">
            <v>0</v>
          </cell>
          <cell r="BK31">
            <v>0</v>
          </cell>
          <cell r="BL31">
            <v>0</v>
          </cell>
          <cell r="BM31">
            <v>36803078</v>
          </cell>
          <cell r="BN31">
            <v>0</v>
          </cell>
          <cell r="BO31">
            <v>678057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409005929</v>
          </cell>
          <cell r="BU31">
            <v>25483584</v>
          </cell>
          <cell r="BV31">
            <v>960000</v>
          </cell>
          <cell r="BW31">
            <v>286000000</v>
          </cell>
          <cell r="BX31">
            <v>14</v>
          </cell>
          <cell r="BY31">
            <v>61600000</v>
          </cell>
          <cell r="BZ31">
            <v>375238062</v>
          </cell>
          <cell r="CA31">
            <v>53761190</v>
          </cell>
          <cell r="CB31">
            <v>3795111</v>
          </cell>
          <cell r="CC31">
            <v>2000000</v>
          </cell>
          <cell r="CD31">
            <v>32238695</v>
          </cell>
          <cell r="CE31">
            <v>376767234</v>
          </cell>
        </row>
        <row r="32">
          <cell r="B32">
            <v>220728</v>
          </cell>
          <cell r="C32" t="str">
            <v>Lê Thị Vân</v>
          </cell>
          <cell r="D32">
            <v>8037226343</v>
          </cell>
          <cell r="E32">
            <v>1029429985</v>
          </cell>
          <cell r="F32">
            <v>44743</v>
          </cell>
          <cell r="G32" t="str">
            <v xml:space="preserve">QC </v>
          </cell>
          <cell r="H32"/>
          <cell r="I32"/>
          <cell r="J32"/>
          <cell r="K32"/>
          <cell r="L32">
            <v>9525000</v>
          </cell>
          <cell r="M32">
            <v>0</v>
          </cell>
          <cell r="N32">
            <v>300000</v>
          </cell>
          <cell r="O32">
            <v>0</v>
          </cell>
          <cell r="P32">
            <v>100000</v>
          </cell>
          <cell r="Q32">
            <v>2875000</v>
          </cell>
          <cell r="R32">
            <v>12800000</v>
          </cell>
          <cell r="S32">
            <v>366346.15384615387</v>
          </cell>
          <cell r="T32">
            <v>45793.269230769234</v>
          </cell>
          <cell r="U32">
            <v>27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1.5</v>
          </cell>
          <cell r="AH32">
            <v>27</v>
          </cell>
          <cell r="AI32">
            <v>0</v>
          </cell>
          <cell r="AJ32">
            <v>0</v>
          </cell>
          <cell r="AK32"/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9891346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/>
          <cell r="BB32">
            <v>0</v>
          </cell>
          <cell r="BC32">
            <v>300000</v>
          </cell>
          <cell r="BD32">
            <v>0</v>
          </cell>
          <cell r="BE32">
            <v>100000</v>
          </cell>
          <cell r="BF32">
            <v>2875000</v>
          </cell>
          <cell r="BG32">
            <v>103035</v>
          </cell>
          <cell r="BH32">
            <v>810000</v>
          </cell>
          <cell r="BI32">
            <v>0</v>
          </cell>
          <cell r="BJ32"/>
          <cell r="BK32"/>
          <cell r="BL32"/>
          <cell r="BM32">
            <v>0</v>
          </cell>
          <cell r="BN32"/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14079381</v>
          </cell>
          <cell r="BU32">
            <v>1000125</v>
          </cell>
          <cell r="BV32">
            <v>40000</v>
          </cell>
          <cell r="BW32">
            <v>11000000</v>
          </cell>
          <cell r="BX32"/>
          <cell r="BY32">
            <v>0</v>
          </cell>
          <cell r="BZ32">
            <v>13269381</v>
          </cell>
          <cell r="CA32">
            <v>1269256</v>
          </cell>
          <cell r="CB32">
            <v>63463</v>
          </cell>
          <cell r="CC32"/>
          <cell r="CD32">
            <v>1103588</v>
          </cell>
          <cell r="CE32">
            <v>12975793</v>
          </cell>
        </row>
        <row r="33">
          <cell r="B33" t="str">
            <v>250364</v>
          </cell>
          <cell r="C33" t="str">
            <v xml:space="preserve">Nguyễn Thị Huỳnh Như </v>
          </cell>
          <cell r="D33">
            <v>8479318657</v>
          </cell>
          <cell r="E33" t="str">
            <v>0281000560178</v>
          </cell>
          <cell r="F33">
            <v>45727</v>
          </cell>
          <cell r="G33" t="str">
            <v xml:space="preserve">QC </v>
          </cell>
          <cell r="H33"/>
          <cell r="I33"/>
          <cell r="J33"/>
          <cell r="K33"/>
          <cell r="L33">
            <v>6375000</v>
          </cell>
          <cell r="M33">
            <v>0</v>
          </cell>
          <cell r="N33">
            <v>0</v>
          </cell>
          <cell r="O33">
            <v>0</v>
          </cell>
          <cell r="P33">
            <v>100000</v>
          </cell>
          <cell r="Q33">
            <v>2125000</v>
          </cell>
          <cell r="R33">
            <v>8600000</v>
          </cell>
          <cell r="S33">
            <v>245192.30769230769</v>
          </cell>
          <cell r="T33">
            <v>30649.038461538461</v>
          </cell>
          <cell r="U33">
            <v>23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4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1.5</v>
          </cell>
          <cell r="AH33">
            <v>23</v>
          </cell>
          <cell r="AI33">
            <v>0</v>
          </cell>
          <cell r="AJ33">
            <v>0</v>
          </cell>
          <cell r="AK33"/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5639423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980769</v>
          </cell>
          <cell r="AY33">
            <v>0</v>
          </cell>
          <cell r="AZ33">
            <v>0</v>
          </cell>
          <cell r="BA33"/>
          <cell r="BB33">
            <v>0</v>
          </cell>
          <cell r="BC33">
            <v>0</v>
          </cell>
          <cell r="BD33">
            <v>0</v>
          </cell>
          <cell r="BE33">
            <v>100000</v>
          </cell>
          <cell r="BF33">
            <v>2125000</v>
          </cell>
          <cell r="BG33">
            <v>68960</v>
          </cell>
          <cell r="BH33">
            <v>690000</v>
          </cell>
          <cell r="BI33">
            <v>0</v>
          </cell>
          <cell r="BJ33"/>
          <cell r="BK33"/>
          <cell r="BL33"/>
          <cell r="BM33">
            <v>0</v>
          </cell>
          <cell r="BN33"/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9604152</v>
          </cell>
          <cell r="BU33">
            <v>669375</v>
          </cell>
          <cell r="BV33">
            <v>40000</v>
          </cell>
          <cell r="BW33">
            <v>11000000</v>
          </cell>
          <cell r="BX33"/>
          <cell r="BY33">
            <v>0</v>
          </cell>
          <cell r="BZ33">
            <v>8914152</v>
          </cell>
          <cell r="CA33">
            <v>0</v>
          </cell>
          <cell r="CB33">
            <v>0</v>
          </cell>
          <cell r="CC33"/>
          <cell r="CD33">
            <v>709375</v>
          </cell>
          <cell r="CE33">
            <v>8894777</v>
          </cell>
        </row>
        <row r="34">
          <cell r="B34" t="str">
            <v>170710</v>
          </cell>
          <cell r="C34" t="str">
            <v>Trần Thanh Song</v>
          </cell>
          <cell r="D34">
            <v>8035709923</v>
          </cell>
          <cell r="E34" t="str">
            <v>1034761798</v>
          </cell>
          <cell r="F34">
            <v>42941</v>
          </cell>
          <cell r="G34" t="str">
            <v xml:space="preserve">QC </v>
          </cell>
          <cell r="H34"/>
          <cell r="I34"/>
          <cell r="J34"/>
          <cell r="K34"/>
          <cell r="L34">
            <v>7105800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2275000</v>
          </cell>
          <cell r="R34">
            <v>9380800</v>
          </cell>
          <cell r="S34">
            <v>273300</v>
          </cell>
          <cell r="T34">
            <v>34162.5</v>
          </cell>
          <cell r="U34">
            <v>27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/>
          <cell r="AH34">
            <v>27</v>
          </cell>
          <cell r="AI34">
            <v>0</v>
          </cell>
          <cell r="AJ34">
            <v>0</v>
          </cell>
          <cell r="AK34"/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7379100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/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2275000</v>
          </cell>
          <cell r="BG34">
            <v>0</v>
          </cell>
          <cell r="BH34">
            <v>810000</v>
          </cell>
          <cell r="BI34">
            <v>0</v>
          </cell>
          <cell r="BJ34"/>
          <cell r="BK34"/>
          <cell r="BL34"/>
          <cell r="BM34">
            <v>0</v>
          </cell>
          <cell r="BN34"/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10464100</v>
          </cell>
          <cell r="BU34">
            <v>746109</v>
          </cell>
          <cell r="BV34">
            <v>40000</v>
          </cell>
          <cell r="BW34">
            <v>11000000</v>
          </cell>
          <cell r="BX34"/>
          <cell r="BY34">
            <v>0</v>
          </cell>
          <cell r="BZ34">
            <v>9654100</v>
          </cell>
          <cell r="CA34">
            <v>0</v>
          </cell>
          <cell r="CB34">
            <v>0</v>
          </cell>
          <cell r="CC34"/>
          <cell r="CD34">
            <v>786109</v>
          </cell>
          <cell r="CE34">
            <v>9677991</v>
          </cell>
        </row>
        <row r="35">
          <cell r="B35" t="str">
            <v>250675</v>
          </cell>
          <cell r="C35" t="str">
            <v>Sơn Thị Thơm</v>
          </cell>
          <cell r="D35">
            <v>8126470657</v>
          </cell>
          <cell r="E35">
            <v>1021943396</v>
          </cell>
          <cell r="F35">
            <v>45765</v>
          </cell>
          <cell r="G35" t="str">
            <v>Warehouse</v>
          </cell>
          <cell r="H35"/>
          <cell r="I35"/>
          <cell r="J35"/>
          <cell r="K35"/>
          <cell r="L35">
            <v>8250000</v>
          </cell>
          <cell r="M35">
            <v>0</v>
          </cell>
          <cell r="N35">
            <v>0</v>
          </cell>
          <cell r="O35">
            <v>0</v>
          </cell>
          <cell r="P35">
            <v>100000</v>
          </cell>
          <cell r="Q35">
            <v>2750000</v>
          </cell>
          <cell r="R35">
            <v>11100000</v>
          </cell>
          <cell r="S35">
            <v>317307.69230769231</v>
          </cell>
          <cell r="T35">
            <v>39663.461538461539</v>
          </cell>
          <cell r="U35">
            <v>27</v>
          </cell>
          <cell r="V35">
            <v>0</v>
          </cell>
          <cell r="W35">
            <v>1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1.5</v>
          </cell>
          <cell r="AH35">
            <v>28</v>
          </cell>
          <cell r="AI35">
            <v>22</v>
          </cell>
          <cell r="AJ35">
            <v>76.75</v>
          </cell>
          <cell r="AK35"/>
          <cell r="AL35">
            <v>0</v>
          </cell>
          <cell r="AM35">
            <v>1</v>
          </cell>
          <cell r="AN35">
            <v>0</v>
          </cell>
          <cell r="AO35">
            <v>0</v>
          </cell>
          <cell r="AP35">
            <v>0</v>
          </cell>
          <cell r="AQ35">
            <v>8567308</v>
          </cell>
          <cell r="AR35">
            <v>0</v>
          </cell>
          <cell r="AS35">
            <v>634615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/>
          <cell r="BB35">
            <v>0</v>
          </cell>
          <cell r="BC35">
            <v>0</v>
          </cell>
          <cell r="BD35">
            <v>0</v>
          </cell>
          <cell r="BE35">
            <v>100000</v>
          </cell>
          <cell r="BF35">
            <v>2750000</v>
          </cell>
          <cell r="BG35">
            <v>89243</v>
          </cell>
          <cell r="BH35">
            <v>840000</v>
          </cell>
          <cell r="BI35">
            <v>550000</v>
          </cell>
          <cell r="BJ35"/>
          <cell r="BK35"/>
          <cell r="BL35"/>
          <cell r="BM35">
            <v>4566256</v>
          </cell>
          <cell r="BN35"/>
          <cell r="BO35">
            <v>0</v>
          </cell>
          <cell r="BP35">
            <v>87260</v>
          </cell>
          <cell r="BQ35">
            <v>0</v>
          </cell>
          <cell r="BR35">
            <v>0</v>
          </cell>
          <cell r="BS35">
            <v>0</v>
          </cell>
          <cell r="BT35">
            <v>18184682</v>
          </cell>
          <cell r="BU35">
            <v>866250</v>
          </cell>
          <cell r="BV35">
            <v>40000</v>
          </cell>
          <cell r="BW35">
            <v>11000000</v>
          </cell>
          <cell r="BX35">
            <v>1</v>
          </cell>
          <cell r="BY35">
            <v>4400000</v>
          </cell>
          <cell r="BZ35">
            <v>14907693</v>
          </cell>
          <cell r="CA35">
            <v>0</v>
          </cell>
          <cell r="CB35">
            <v>0</v>
          </cell>
          <cell r="CC35"/>
          <cell r="CD35">
            <v>906250</v>
          </cell>
          <cell r="CE35">
            <v>17278432</v>
          </cell>
        </row>
        <row r="36">
          <cell r="B36" t="str">
            <v>121006</v>
          </cell>
          <cell r="C36" t="str">
            <v>Tô Ngô</v>
          </cell>
          <cell r="D36">
            <v>8352046240</v>
          </cell>
          <cell r="E36" t="str">
            <v>0281001256029</v>
          </cell>
          <cell r="F36">
            <v>41184</v>
          </cell>
          <cell r="G36" t="str">
            <v>Warehouse</v>
          </cell>
          <cell r="H36"/>
          <cell r="I36"/>
          <cell r="J36"/>
          <cell r="K36"/>
          <cell r="L36">
            <v>8065000</v>
          </cell>
          <cell r="M36">
            <v>0</v>
          </cell>
          <cell r="N36">
            <v>0</v>
          </cell>
          <cell r="O36">
            <v>150000</v>
          </cell>
          <cell r="P36">
            <v>100000</v>
          </cell>
          <cell r="Q36">
            <v>2687800</v>
          </cell>
          <cell r="R36">
            <v>11002800</v>
          </cell>
          <cell r="S36">
            <v>310192.30769230769</v>
          </cell>
          <cell r="T36">
            <v>38774.038461538461</v>
          </cell>
          <cell r="U36">
            <v>26.5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0.5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/>
          <cell r="AH36">
            <v>27</v>
          </cell>
          <cell r="AI36">
            <v>0</v>
          </cell>
          <cell r="AJ36">
            <v>6</v>
          </cell>
          <cell r="AK36"/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8220096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155096</v>
          </cell>
          <cell r="AY36">
            <v>0</v>
          </cell>
          <cell r="AZ36">
            <v>0</v>
          </cell>
          <cell r="BA36"/>
          <cell r="BB36">
            <v>0</v>
          </cell>
          <cell r="BC36">
            <v>0</v>
          </cell>
          <cell r="BD36">
            <v>150000</v>
          </cell>
          <cell r="BE36">
            <v>100000</v>
          </cell>
          <cell r="BF36">
            <v>2687800</v>
          </cell>
          <cell r="BG36">
            <v>0</v>
          </cell>
          <cell r="BH36">
            <v>810000</v>
          </cell>
          <cell r="BI36">
            <v>0</v>
          </cell>
          <cell r="BJ36"/>
          <cell r="BK36"/>
          <cell r="BL36"/>
          <cell r="BM36">
            <v>348966</v>
          </cell>
          <cell r="BN36"/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12471958</v>
          </cell>
          <cell r="BU36">
            <v>862575</v>
          </cell>
          <cell r="BV36">
            <v>40000</v>
          </cell>
          <cell r="BW36">
            <v>11000000</v>
          </cell>
          <cell r="BX36"/>
          <cell r="BY36">
            <v>0</v>
          </cell>
          <cell r="BZ36">
            <v>11545636</v>
          </cell>
          <cell r="CA36">
            <v>0</v>
          </cell>
          <cell r="CB36">
            <v>0</v>
          </cell>
          <cell r="CC36"/>
          <cell r="CD36">
            <v>902575</v>
          </cell>
          <cell r="CE36">
            <v>11569383</v>
          </cell>
        </row>
        <row r="37">
          <cell r="B37" t="str">
            <v>220526</v>
          </cell>
          <cell r="C37" t="str">
            <v>Lê Minh Vẹn</v>
          </cell>
          <cell r="D37">
            <v>8056124107</v>
          </cell>
          <cell r="E37">
            <v>9329433364</v>
          </cell>
          <cell r="F37">
            <v>44690</v>
          </cell>
          <cell r="G37" t="str">
            <v>Warehouse</v>
          </cell>
          <cell r="H37"/>
          <cell r="I37"/>
          <cell r="J37"/>
          <cell r="K37"/>
          <cell r="L37">
            <v>6530800</v>
          </cell>
          <cell r="M37"/>
          <cell r="N37">
            <v>300000</v>
          </cell>
          <cell r="O37"/>
          <cell r="Q37">
            <v>1950000</v>
          </cell>
          <cell r="R37">
            <v>8780800</v>
          </cell>
          <cell r="S37">
            <v>251184.61538461538</v>
          </cell>
          <cell r="T37">
            <v>31398.076923076922</v>
          </cell>
          <cell r="U37">
            <v>22</v>
          </cell>
          <cell r="V37">
            <v>0</v>
          </cell>
          <cell r="W37">
            <v>1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1</v>
          </cell>
          <cell r="AC37">
            <v>0</v>
          </cell>
          <cell r="AD37">
            <v>2</v>
          </cell>
          <cell r="AE37">
            <v>2</v>
          </cell>
          <cell r="AF37">
            <v>0</v>
          </cell>
          <cell r="AG37"/>
          <cell r="AH37">
            <v>23</v>
          </cell>
          <cell r="AI37">
            <v>15</v>
          </cell>
          <cell r="AJ37">
            <v>69</v>
          </cell>
          <cell r="AK37"/>
          <cell r="AL37">
            <v>0</v>
          </cell>
          <cell r="AM37">
            <v>1</v>
          </cell>
          <cell r="AN37">
            <v>0</v>
          </cell>
          <cell r="AO37">
            <v>0</v>
          </cell>
          <cell r="AP37">
            <v>0</v>
          </cell>
          <cell r="AQ37">
            <v>5526062</v>
          </cell>
          <cell r="AR37">
            <v>0</v>
          </cell>
          <cell r="AS37">
            <v>502369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251185</v>
          </cell>
          <cell r="AY37">
            <v>0</v>
          </cell>
          <cell r="AZ37">
            <v>0</v>
          </cell>
          <cell r="BA37"/>
          <cell r="BB37">
            <v>0</v>
          </cell>
          <cell r="BC37">
            <v>300000</v>
          </cell>
          <cell r="BD37">
            <v>0</v>
          </cell>
          <cell r="BE37">
            <v>0</v>
          </cell>
          <cell r="BF37">
            <v>1950000</v>
          </cell>
          <cell r="BG37">
            <v>0</v>
          </cell>
          <cell r="BH37">
            <v>690000</v>
          </cell>
          <cell r="BI37">
            <v>375000</v>
          </cell>
          <cell r="BJ37"/>
          <cell r="BK37"/>
          <cell r="BL37"/>
          <cell r="BM37">
            <v>3249701</v>
          </cell>
          <cell r="BN37"/>
          <cell r="BO37">
            <v>0</v>
          </cell>
          <cell r="BP37">
            <v>69076</v>
          </cell>
          <cell r="BQ37">
            <v>0</v>
          </cell>
          <cell r="BR37">
            <v>0</v>
          </cell>
          <cell r="BS37">
            <v>0</v>
          </cell>
          <cell r="BT37">
            <v>12913393</v>
          </cell>
          <cell r="BU37">
            <v>685734</v>
          </cell>
          <cell r="BV37">
            <v>40000</v>
          </cell>
          <cell r="BW37">
            <v>11000000</v>
          </cell>
          <cell r="BX37"/>
          <cell r="BY37">
            <v>0</v>
          </cell>
          <cell r="BZ37">
            <v>10476297</v>
          </cell>
          <cell r="CA37">
            <v>0</v>
          </cell>
          <cell r="CB37">
            <v>0</v>
          </cell>
          <cell r="CC37"/>
          <cell r="CD37">
            <v>725734</v>
          </cell>
          <cell r="CE37">
            <v>12187659</v>
          </cell>
        </row>
        <row r="38">
          <cell r="B38">
            <v>230936</v>
          </cell>
          <cell r="C38" t="str">
            <v>Thái Minh Lực</v>
          </cell>
          <cell r="D38">
            <v>8091719241</v>
          </cell>
          <cell r="E38">
            <v>1042364438</v>
          </cell>
          <cell r="F38">
            <v>45180</v>
          </cell>
          <cell r="G38" t="str">
            <v>Warehouse</v>
          </cell>
          <cell r="H38"/>
          <cell r="I38"/>
          <cell r="J38"/>
          <cell r="K38"/>
          <cell r="L38">
            <v>6190000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1610000</v>
          </cell>
          <cell r="R38">
            <v>7800000</v>
          </cell>
          <cell r="S38">
            <v>238076.92307692306</v>
          </cell>
          <cell r="T38">
            <v>29759.615384615383</v>
          </cell>
          <cell r="U38">
            <v>26.625</v>
          </cell>
          <cell r="V38">
            <v>0</v>
          </cell>
          <cell r="W38">
            <v>0.5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/>
          <cell r="AH38">
            <v>28</v>
          </cell>
          <cell r="AI38">
            <v>17</v>
          </cell>
          <cell r="AJ38">
            <v>63.5</v>
          </cell>
          <cell r="AK38"/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6338798</v>
          </cell>
          <cell r="AR38">
            <v>0</v>
          </cell>
          <cell r="AS38">
            <v>238077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/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1610000</v>
          </cell>
          <cell r="BG38">
            <v>0</v>
          </cell>
          <cell r="BH38">
            <v>840000</v>
          </cell>
          <cell r="BI38">
            <v>425000</v>
          </cell>
          <cell r="BJ38"/>
          <cell r="BK38"/>
          <cell r="BL38"/>
          <cell r="BM38">
            <v>2834603</v>
          </cell>
          <cell r="BN38"/>
          <cell r="BO38">
            <v>0</v>
          </cell>
          <cell r="BP38">
            <v>65471</v>
          </cell>
          <cell r="BQ38">
            <v>0</v>
          </cell>
          <cell r="BR38">
            <v>0</v>
          </cell>
          <cell r="BS38">
            <v>0</v>
          </cell>
          <cell r="BT38">
            <v>12351949</v>
          </cell>
          <cell r="BU38">
            <v>649950</v>
          </cell>
          <cell r="BV38">
            <v>40000</v>
          </cell>
          <cell r="BW38">
            <v>11000000</v>
          </cell>
          <cell r="BX38"/>
          <cell r="BY38">
            <v>0</v>
          </cell>
          <cell r="BZ38">
            <v>9987331</v>
          </cell>
          <cell r="CA38">
            <v>0</v>
          </cell>
          <cell r="CB38">
            <v>0</v>
          </cell>
          <cell r="CC38"/>
          <cell r="CD38">
            <v>689950</v>
          </cell>
          <cell r="CE38">
            <v>11661999</v>
          </cell>
        </row>
        <row r="39">
          <cell r="B39" t="str">
            <v>250677</v>
          </cell>
          <cell r="C39" t="str">
            <v>Nguyễn Minh Khang</v>
          </cell>
          <cell r="D39"/>
          <cell r="E39" t="str">
            <v>0281000500902</v>
          </cell>
          <cell r="F39">
            <v>45815</v>
          </cell>
          <cell r="G39" t="str">
            <v>Warehouse</v>
          </cell>
          <cell r="H39"/>
          <cell r="I39"/>
          <cell r="J39"/>
          <cell r="K39"/>
          <cell r="L39">
            <v>5640800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940000</v>
          </cell>
          <cell r="R39">
            <v>6580800</v>
          </cell>
          <cell r="S39">
            <v>216953.84615384616</v>
          </cell>
          <cell r="T39">
            <v>27119.23076923077</v>
          </cell>
          <cell r="U39">
            <v>26.5</v>
          </cell>
          <cell r="V39">
            <v>0</v>
          </cell>
          <cell r="W39">
            <v>1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0.5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/>
          <cell r="AH39">
            <v>28</v>
          </cell>
          <cell r="AI39">
            <v>13</v>
          </cell>
          <cell r="AJ39">
            <v>46</v>
          </cell>
          <cell r="AK39"/>
          <cell r="AL39">
            <v>0</v>
          </cell>
          <cell r="AM39">
            <v>1</v>
          </cell>
          <cell r="AN39">
            <v>0</v>
          </cell>
          <cell r="AO39">
            <v>0</v>
          </cell>
          <cell r="AP39">
            <v>0</v>
          </cell>
          <cell r="AQ39">
            <v>5749277</v>
          </cell>
          <cell r="AR39">
            <v>0</v>
          </cell>
          <cell r="AS39">
            <v>433908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108477</v>
          </cell>
          <cell r="AY39">
            <v>0</v>
          </cell>
          <cell r="AZ39">
            <v>0</v>
          </cell>
          <cell r="BA39"/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940000</v>
          </cell>
          <cell r="BG39">
            <v>0</v>
          </cell>
          <cell r="BH39">
            <v>840000</v>
          </cell>
          <cell r="BI39">
            <v>325000</v>
          </cell>
          <cell r="BJ39"/>
          <cell r="BK39"/>
          <cell r="BL39"/>
          <cell r="BM39">
            <v>1871227</v>
          </cell>
          <cell r="BN39"/>
          <cell r="BO39">
            <v>0</v>
          </cell>
          <cell r="BP39">
            <v>59662</v>
          </cell>
          <cell r="BQ39">
            <v>0</v>
          </cell>
          <cell r="BR39">
            <v>0</v>
          </cell>
          <cell r="BS39">
            <v>0</v>
          </cell>
          <cell r="BT39">
            <v>10327551</v>
          </cell>
          <cell r="BU39">
            <v>592284</v>
          </cell>
          <cell r="BV39">
            <v>40000</v>
          </cell>
          <cell r="BW39">
            <v>11000000</v>
          </cell>
          <cell r="BX39"/>
          <cell r="BY39">
            <v>0</v>
          </cell>
          <cell r="BZ39">
            <v>8289312</v>
          </cell>
          <cell r="CA39">
            <v>0</v>
          </cell>
          <cell r="CB39">
            <v>0</v>
          </cell>
          <cell r="CC39"/>
          <cell r="CD39">
            <v>632284</v>
          </cell>
          <cell r="CE39">
            <v>9695267</v>
          </cell>
        </row>
        <row r="40">
          <cell r="B40">
            <v>250780</v>
          </cell>
          <cell r="C40" t="str">
            <v>Nguyễn Quốc Nhi</v>
          </cell>
          <cell r="D40"/>
          <cell r="E40">
            <v>1048721140</v>
          </cell>
          <cell r="F40">
            <v>45856</v>
          </cell>
          <cell r="G40" t="str">
            <v>Warehouse</v>
          </cell>
          <cell r="H40"/>
          <cell r="I40"/>
          <cell r="J40"/>
          <cell r="K40"/>
          <cell r="L40">
            <v>5640800</v>
          </cell>
          <cell r="M40">
            <v>0</v>
          </cell>
          <cell r="N40">
            <v>0</v>
          </cell>
          <cell r="O40">
            <v>0</v>
          </cell>
          <cell r="P40">
            <v>100000</v>
          </cell>
          <cell r="Q40">
            <v>940000</v>
          </cell>
          <cell r="R40">
            <v>6680800</v>
          </cell>
          <cell r="S40">
            <v>216953.84615384616</v>
          </cell>
          <cell r="T40">
            <v>27119.23076923077</v>
          </cell>
          <cell r="U40">
            <v>23.125</v>
          </cell>
          <cell r="V40">
            <v>0</v>
          </cell>
          <cell r="W40">
            <v>1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0</v>
          </cell>
          <cell r="AE40">
            <v>2</v>
          </cell>
          <cell r="AF40">
            <v>0</v>
          </cell>
          <cell r="AG40"/>
          <cell r="AH40">
            <v>24</v>
          </cell>
          <cell r="AI40">
            <v>10</v>
          </cell>
          <cell r="AJ40">
            <v>39.5</v>
          </cell>
          <cell r="AK40"/>
          <cell r="AL40">
            <v>0</v>
          </cell>
          <cell r="AM40">
            <v>1</v>
          </cell>
          <cell r="AN40">
            <v>0</v>
          </cell>
          <cell r="AO40">
            <v>0</v>
          </cell>
          <cell r="AP40">
            <v>0</v>
          </cell>
          <cell r="AQ40">
            <v>5017058</v>
          </cell>
          <cell r="AR40">
            <v>0</v>
          </cell>
          <cell r="AS40">
            <v>433908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216954</v>
          </cell>
          <cell r="AY40">
            <v>0</v>
          </cell>
          <cell r="AZ40">
            <v>0</v>
          </cell>
          <cell r="BA40"/>
          <cell r="BB40">
            <v>0</v>
          </cell>
          <cell r="BC40">
            <v>0</v>
          </cell>
          <cell r="BD40">
            <v>0</v>
          </cell>
          <cell r="BE40">
            <v>100000</v>
          </cell>
          <cell r="BF40">
            <v>940000</v>
          </cell>
          <cell r="BG40">
            <v>0</v>
          </cell>
          <cell r="BH40">
            <v>720000</v>
          </cell>
          <cell r="BI40">
            <v>250000</v>
          </cell>
          <cell r="BJ40"/>
          <cell r="BK40"/>
          <cell r="BL40"/>
          <cell r="BM40">
            <v>1606814</v>
          </cell>
          <cell r="BN40"/>
          <cell r="BO40">
            <v>0</v>
          </cell>
          <cell r="BP40">
            <v>59662</v>
          </cell>
          <cell r="BQ40">
            <v>0</v>
          </cell>
          <cell r="BR40">
            <v>0</v>
          </cell>
          <cell r="BS40">
            <v>0</v>
          </cell>
          <cell r="BT40">
            <v>9344396</v>
          </cell>
          <cell r="BU40">
            <v>592284</v>
          </cell>
          <cell r="BV40">
            <v>40000</v>
          </cell>
          <cell r="BW40">
            <v>11000000</v>
          </cell>
          <cell r="BX40"/>
          <cell r="BY40">
            <v>0</v>
          </cell>
          <cell r="BZ40">
            <v>7589294</v>
          </cell>
          <cell r="CA40">
            <v>0</v>
          </cell>
          <cell r="CB40">
            <v>0</v>
          </cell>
          <cell r="CC40"/>
          <cell r="CD40">
            <v>632284</v>
          </cell>
          <cell r="CE40">
            <v>8712112</v>
          </cell>
        </row>
        <row r="41">
          <cell r="B41">
            <v>250783</v>
          </cell>
          <cell r="C41" t="str">
            <v>Trương Tấn Lực</v>
          </cell>
          <cell r="D41"/>
          <cell r="E41"/>
          <cell r="F41">
            <v>45857</v>
          </cell>
          <cell r="G41" t="str">
            <v>Warehouse</v>
          </cell>
          <cell r="H41"/>
          <cell r="I41"/>
          <cell r="J41"/>
          <cell r="K41"/>
          <cell r="L41">
            <v>5640800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940000</v>
          </cell>
          <cell r="R41">
            <v>6580800</v>
          </cell>
          <cell r="S41">
            <v>216953.84615384616</v>
          </cell>
          <cell r="T41">
            <v>27119.23076923077</v>
          </cell>
          <cell r="U41">
            <v>27</v>
          </cell>
          <cell r="V41">
            <v>0</v>
          </cell>
          <cell r="W41">
            <v>1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/>
          <cell r="AH41">
            <v>28</v>
          </cell>
          <cell r="AI41">
            <v>21</v>
          </cell>
          <cell r="AJ41">
            <v>71.5</v>
          </cell>
          <cell r="AK41"/>
          <cell r="AL41">
            <v>0</v>
          </cell>
          <cell r="AM41">
            <v>1</v>
          </cell>
          <cell r="AN41">
            <v>0</v>
          </cell>
          <cell r="AO41">
            <v>0</v>
          </cell>
          <cell r="AP41">
            <v>0</v>
          </cell>
          <cell r="AQ41">
            <v>5857754</v>
          </cell>
          <cell r="AR41">
            <v>0</v>
          </cell>
          <cell r="AS41">
            <v>433908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/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940000</v>
          </cell>
          <cell r="BG41">
            <v>0</v>
          </cell>
          <cell r="BH41">
            <v>840000</v>
          </cell>
          <cell r="BI41">
            <v>525000</v>
          </cell>
          <cell r="BJ41"/>
          <cell r="BK41"/>
          <cell r="BL41"/>
          <cell r="BM41">
            <v>2908538</v>
          </cell>
          <cell r="BN41"/>
          <cell r="BO41">
            <v>0</v>
          </cell>
          <cell r="BP41">
            <v>59662</v>
          </cell>
          <cell r="BQ41">
            <v>0</v>
          </cell>
          <cell r="BR41">
            <v>0</v>
          </cell>
          <cell r="BS41">
            <v>0</v>
          </cell>
          <cell r="BT41">
            <v>11564862</v>
          </cell>
          <cell r="BU41">
            <v>592284</v>
          </cell>
          <cell r="BV41">
            <v>40000</v>
          </cell>
          <cell r="BW41">
            <v>11000000</v>
          </cell>
          <cell r="BX41"/>
          <cell r="BY41">
            <v>0</v>
          </cell>
          <cell r="BZ41">
            <v>8980852</v>
          </cell>
          <cell r="CA41">
            <v>0</v>
          </cell>
          <cell r="CB41">
            <v>0</v>
          </cell>
          <cell r="CC41"/>
          <cell r="CD41">
            <v>632284</v>
          </cell>
          <cell r="CE41">
            <v>10932578</v>
          </cell>
        </row>
        <row r="42">
          <cell r="B42">
            <v>250987</v>
          </cell>
          <cell r="C42" t="str">
            <v>Nguyễn Hữu Phước</v>
          </cell>
          <cell r="D42"/>
          <cell r="E42">
            <v>9965777642</v>
          </cell>
          <cell r="F42">
            <v>45906</v>
          </cell>
          <cell r="G42" t="str">
            <v>Warehouse</v>
          </cell>
          <cell r="H42">
            <v>8287500</v>
          </cell>
          <cell r="I42"/>
          <cell r="J42">
            <v>2762500</v>
          </cell>
          <cell r="K42">
            <v>11050000</v>
          </cell>
          <cell r="L42"/>
          <cell r="M42"/>
          <cell r="N42"/>
          <cell r="O42"/>
          <cell r="P42"/>
          <cell r="Q42"/>
          <cell r="R42"/>
          <cell r="S42">
            <v>318750</v>
          </cell>
          <cell r="T42">
            <v>39843.75</v>
          </cell>
          <cell r="U42">
            <v>27</v>
          </cell>
          <cell r="V42">
            <v>0</v>
          </cell>
          <cell r="W42">
            <v>1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/>
          <cell r="AH42">
            <v>28</v>
          </cell>
          <cell r="AI42">
            <v>24</v>
          </cell>
          <cell r="AJ42">
            <v>78.5</v>
          </cell>
          <cell r="AK42"/>
          <cell r="AL42">
            <v>0</v>
          </cell>
          <cell r="AM42">
            <v>1</v>
          </cell>
          <cell r="AN42">
            <v>0</v>
          </cell>
          <cell r="AO42">
            <v>0</v>
          </cell>
          <cell r="AP42">
            <v>0</v>
          </cell>
          <cell r="AQ42">
            <v>8606250</v>
          </cell>
          <cell r="AR42">
            <v>0</v>
          </cell>
          <cell r="AS42">
            <v>637500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/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2762500</v>
          </cell>
          <cell r="BG42">
            <v>0</v>
          </cell>
          <cell r="BH42">
            <v>840000</v>
          </cell>
          <cell r="BI42">
            <v>600000</v>
          </cell>
          <cell r="BJ42"/>
          <cell r="BK42"/>
          <cell r="BL42"/>
          <cell r="BM42">
            <v>4691602</v>
          </cell>
          <cell r="BN42"/>
          <cell r="BO42">
            <v>0</v>
          </cell>
          <cell r="BP42">
            <v>87656</v>
          </cell>
          <cell r="BQ42">
            <v>0</v>
          </cell>
          <cell r="BR42">
            <v>0</v>
          </cell>
          <cell r="BS42">
            <v>0</v>
          </cell>
          <cell r="BT42">
            <v>18225508</v>
          </cell>
          <cell r="BU42"/>
          <cell r="BV42"/>
          <cell r="BW42">
            <v>11000000</v>
          </cell>
          <cell r="BX42">
            <v>2</v>
          </cell>
          <cell r="BY42">
            <v>8800000</v>
          </cell>
          <cell r="BZ42">
            <v>14855078</v>
          </cell>
          <cell r="CA42">
            <v>0</v>
          </cell>
          <cell r="CB42">
            <v>0</v>
          </cell>
          <cell r="CC42"/>
          <cell r="CD42">
            <v>0</v>
          </cell>
          <cell r="CE42">
            <v>18225508</v>
          </cell>
        </row>
        <row r="43">
          <cell r="B43" t="str">
            <v>080202</v>
          </cell>
          <cell r="C43" t="str">
            <v>Nguyễn Văn Vinh</v>
          </cell>
          <cell r="D43">
            <v>8023763901</v>
          </cell>
          <cell r="E43" t="str">
            <v>1019916173</v>
          </cell>
          <cell r="F43">
            <v>39494</v>
          </cell>
          <cell r="G43" t="str">
            <v>Factory</v>
          </cell>
          <cell r="H43"/>
          <cell r="I43"/>
          <cell r="J43"/>
          <cell r="K43"/>
          <cell r="L43">
            <v>12270800</v>
          </cell>
          <cell r="M43">
            <v>992000</v>
          </cell>
          <cell r="N43">
            <v>300000</v>
          </cell>
          <cell r="O43">
            <v>150000</v>
          </cell>
          <cell r="P43">
            <v>0</v>
          </cell>
          <cell r="Q43">
            <v>3331000</v>
          </cell>
          <cell r="R43">
            <v>17043800</v>
          </cell>
          <cell r="S43">
            <v>471953.84615384613</v>
          </cell>
          <cell r="T43">
            <v>58994.230769230766</v>
          </cell>
          <cell r="U43">
            <v>26</v>
          </cell>
          <cell r="V43">
            <v>0</v>
          </cell>
          <cell r="W43">
            <v>1.875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1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/>
          <cell r="AH43">
            <v>28</v>
          </cell>
          <cell r="AI43">
            <v>23</v>
          </cell>
          <cell r="AJ43">
            <v>70</v>
          </cell>
          <cell r="AK43"/>
          <cell r="AL43">
            <v>0</v>
          </cell>
          <cell r="AM43">
            <v>3</v>
          </cell>
          <cell r="AN43">
            <v>0</v>
          </cell>
          <cell r="AO43">
            <v>0</v>
          </cell>
          <cell r="AP43">
            <v>0</v>
          </cell>
          <cell r="AQ43">
            <v>12270800</v>
          </cell>
          <cell r="AR43">
            <v>0</v>
          </cell>
          <cell r="AS43">
            <v>1769827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471954</v>
          </cell>
          <cell r="AY43">
            <v>0</v>
          </cell>
          <cell r="AZ43">
            <v>0</v>
          </cell>
          <cell r="BA43"/>
          <cell r="BB43">
            <v>992000</v>
          </cell>
          <cell r="BC43">
            <v>300000</v>
          </cell>
          <cell r="BD43">
            <v>150000</v>
          </cell>
          <cell r="BE43">
            <v>0</v>
          </cell>
          <cell r="BF43">
            <v>3331000</v>
          </cell>
          <cell r="BG43">
            <v>0</v>
          </cell>
          <cell r="BH43">
            <v>840000</v>
          </cell>
          <cell r="BI43">
            <v>575000</v>
          </cell>
          <cell r="BJ43"/>
          <cell r="BK43"/>
          <cell r="BL43"/>
          <cell r="BM43">
            <v>6194394</v>
          </cell>
          <cell r="BN43"/>
          <cell r="BO43">
            <v>0</v>
          </cell>
          <cell r="BP43">
            <v>389362</v>
          </cell>
          <cell r="BQ43">
            <v>0</v>
          </cell>
          <cell r="BR43">
            <v>0</v>
          </cell>
          <cell r="BS43">
            <v>0</v>
          </cell>
          <cell r="BT43">
            <v>27284337</v>
          </cell>
          <cell r="BU43">
            <v>1408344</v>
          </cell>
          <cell r="BV43">
            <v>40000</v>
          </cell>
          <cell r="BW43">
            <v>11000000</v>
          </cell>
          <cell r="BX43">
            <v>2</v>
          </cell>
          <cell r="BY43">
            <v>8800000</v>
          </cell>
          <cell r="BZ43">
            <v>22707246</v>
          </cell>
          <cell r="CA43">
            <v>1498902</v>
          </cell>
          <cell r="CB43">
            <v>74945</v>
          </cell>
          <cell r="CC43">
            <v>5000000</v>
          </cell>
          <cell r="CD43">
            <v>6523289</v>
          </cell>
          <cell r="CE43">
            <v>20761048</v>
          </cell>
        </row>
        <row r="44">
          <cell r="B44" t="str">
            <v>220221</v>
          </cell>
          <cell r="C44" t="str">
            <v>Nguyễn Văn Dũng</v>
          </cell>
          <cell r="D44">
            <v>8632448979</v>
          </cell>
          <cell r="E44" t="str">
            <v>1015410645</v>
          </cell>
          <cell r="F44">
            <v>44603</v>
          </cell>
          <cell r="G44" t="str">
            <v>Factory</v>
          </cell>
          <cell r="H44"/>
          <cell r="I44"/>
          <cell r="J44"/>
          <cell r="K44"/>
          <cell r="L44">
            <v>6240800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1740000</v>
          </cell>
          <cell r="R44">
            <v>7980800</v>
          </cell>
          <cell r="S44">
            <v>240030.76923076922</v>
          </cell>
          <cell r="T44">
            <v>30003.846153846152</v>
          </cell>
          <cell r="U44">
            <v>23</v>
          </cell>
          <cell r="V44">
            <v>0</v>
          </cell>
          <cell r="W44">
            <v>1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4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/>
          <cell r="AH44">
            <v>24</v>
          </cell>
          <cell r="AI44">
            <v>21</v>
          </cell>
          <cell r="AJ44">
            <v>61.5</v>
          </cell>
          <cell r="AK44"/>
          <cell r="AL44">
            <v>0</v>
          </cell>
          <cell r="AM44">
            <v>3</v>
          </cell>
          <cell r="AN44">
            <v>0</v>
          </cell>
          <cell r="AO44">
            <v>0</v>
          </cell>
          <cell r="AP44">
            <v>0</v>
          </cell>
          <cell r="AQ44">
            <v>5520708</v>
          </cell>
          <cell r="AR44">
            <v>0</v>
          </cell>
          <cell r="AS44">
            <v>480062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960123</v>
          </cell>
          <cell r="AY44">
            <v>0</v>
          </cell>
          <cell r="AZ44">
            <v>0</v>
          </cell>
          <cell r="BA44"/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1740000</v>
          </cell>
          <cell r="BG44">
            <v>0</v>
          </cell>
          <cell r="BH44">
            <v>720000</v>
          </cell>
          <cell r="BI44">
            <v>525000</v>
          </cell>
          <cell r="BJ44"/>
          <cell r="BK44"/>
          <cell r="BL44"/>
          <cell r="BM44">
            <v>2767855</v>
          </cell>
          <cell r="BN44"/>
          <cell r="BO44">
            <v>0</v>
          </cell>
          <cell r="BP44">
            <v>198025</v>
          </cell>
          <cell r="BQ44">
            <v>0</v>
          </cell>
          <cell r="BR44">
            <v>0</v>
          </cell>
          <cell r="BS44">
            <v>0</v>
          </cell>
          <cell r="BT44">
            <v>12911773</v>
          </cell>
          <cell r="BU44">
            <v>655284</v>
          </cell>
          <cell r="BV44">
            <v>40000</v>
          </cell>
          <cell r="BW44">
            <v>11000000</v>
          </cell>
          <cell r="BX44"/>
          <cell r="BY44">
            <v>0</v>
          </cell>
          <cell r="BZ44">
            <v>10396110</v>
          </cell>
          <cell r="CA44">
            <v>0</v>
          </cell>
          <cell r="CB44">
            <v>0</v>
          </cell>
          <cell r="CC44"/>
          <cell r="CD44">
            <v>695284</v>
          </cell>
          <cell r="CE44">
            <v>12216489</v>
          </cell>
        </row>
        <row r="45">
          <cell r="B45" t="str">
            <v>230937</v>
          </cell>
          <cell r="C45" t="str">
            <v>Nguyễn Văn Út Cưng</v>
          </cell>
          <cell r="D45">
            <v>8864175270</v>
          </cell>
          <cell r="E45">
            <v>9899446511</v>
          </cell>
          <cell r="F45">
            <v>45181</v>
          </cell>
          <cell r="G45" t="str">
            <v>Factory</v>
          </cell>
          <cell r="H45"/>
          <cell r="I45"/>
          <cell r="J45"/>
          <cell r="K45"/>
          <cell r="L45">
            <v>5790000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1390800</v>
          </cell>
          <cell r="R45">
            <v>7180800</v>
          </cell>
          <cell r="S45">
            <v>222692.30769230769</v>
          </cell>
          <cell r="T45">
            <v>27836.538461538461</v>
          </cell>
          <cell r="U45">
            <v>27</v>
          </cell>
          <cell r="V45">
            <v>0</v>
          </cell>
          <cell r="W45">
            <v>1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28</v>
          </cell>
          <cell r="AI45">
            <v>23</v>
          </cell>
          <cell r="AJ45">
            <v>75</v>
          </cell>
          <cell r="AK45"/>
          <cell r="AL45">
            <v>0</v>
          </cell>
          <cell r="AM45">
            <v>1</v>
          </cell>
          <cell r="AN45">
            <v>0</v>
          </cell>
          <cell r="AO45">
            <v>0</v>
          </cell>
          <cell r="AP45">
            <v>0</v>
          </cell>
          <cell r="AQ45">
            <v>6012692</v>
          </cell>
          <cell r="AR45">
            <v>0</v>
          </cell>
          <cell r="AS45">
            <v>445385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/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1390800</v>
          </cell>
          <cell r="BG45">
            <v>0</v>
          </cell>
          <cell r="BH45">
            <v>840000</v>
          </cell>
          <cell r="BI45">
            <v>575000</v>
          </cell>
          <cell r="BJ45"/>
          <cell r="BK45"/>
          <cell r="BL45"/>
          <cell r="BM45">
            <v>3131611</v>
          </cell>
          <cell r="BN45"/>
          <cell r="BO45">
            <v>0</v>
          </cell>
          <cell r="BP45">
            <v>61240</v>
          </cell>
          <cell r="BQ45">
            <v>0</v>
          </cell>
          <cell r="BR45">
            <v>0</v>
          </cell>
          <cell r="BS45">
            <v>0</v>
          </cell>
          <cell r="BT45">
            <v>12456728</v>
          </cell>
          <cell r="BU45">
            <v>607950</v>
          </cell>
          <cell r="BV45">
            <v>40000</v>
          </cell>
          <cell r="BW45">
            <v>11000000</v>
          </cell>
          <cell r="BX45"/>
          <cell r="BY45">
            <v>0</v>
          </cell>
          <cell r="BZ45">
            <v>9741762</v>
          </cell>
          <cell r="CA45">
            <v>0</v>
          </cell>
          <cell r="CB45">
            <v>0</v>
          </cell>
          <cell r="CC45"/>
          <cell r="CD45">
            <v>647950</v>
          </cell>
          <cell r="CE45">
            <v>11808778</v>
          </cell>
        </row>
        <row r="46">
          <cell r="B46" t="str">
            <v>070901</v>
          </cell>
          <cell r="C46" t="str">
            <v>Nguyễn Minh Khương</v>
          </cell>
          <cell r="D46">
            <v>8127362340</v>
          </cell>
          <cell r="E46" t="str">
            <v>1018698674</v>
          </cell>
          <cell r="F46">
            <v>39328</v>
          </cell>
          <cell r="G46" t="str">
            <v>Factory</v>
          </cell>
          <cell r="H46"/>
          <cell r="I46"/>
          <cell r="J46"/>
          <cell r="K46"/>
          <cell r="L46">
            <v>9250500</v>
          </cell>
          <cell r="M46">
            <v>0</v>
          </cell>
          <cell r="N46">
            <v>300000</v>
          </cell>
          <cell r="O46">
            <v>150000</v>
          </cell>
          <cell r="P46">
            <v>0</v>
          </cell>
          <cell r="Q46">
            <v>3084300</v>
          </cell>
          <cell r="R46">
            <v>12784800</v>
          </cell>
          <cell r="S46">
            <v>355788.46153846156</v>
          </cell>
          <cell r="T46">
            <v>44473.557692307695</v>
          </cell>
          <cell r="U46">
            <v>10</v>
          </cell>
          <cell r="V46">
            <v>13</v>
          </cell>
          <cell r="W46">
            <v>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3</v>
          </cell>
          <cell r="AD46">
            <v>0</v>
          </cell>
          <cell r="AE46">
            <v>0</v>
          </cell>
          <cell r="AF46">
            <v>13</v>
          </cell>
          <cell r="AG46"/>
          <cell r="AH46">
            <v>25</v>
          </cell>
          <cell r="AI46">
            <v>22</v>
          </cell>
          <cell r="AJ46">
            <v>24.5</v>
          </cell>
          <cell r="AK46"/>
          <cell r="AL46">
            <v>58.5</v>
          </cell>
          <cell r="AM46">
            <v>3</v>
          </cell>
          <cell r="AN46">
            <v>0</v>
          </cell>
          <cell r="AO46">
            <v>0</v>
          </cell>
          <cell r="AP46">
            <v>0</v>
          </cell>
          <cell r="AQ46">
            <v>3557885</v>
          </cell>
          <cell r="AR46">
            <v>6012825</v>
          </cell>
          <cell r="AS46">
            <v>711577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1067365</v>
          </cell>
          <cell r="AZ46">
            <v>1387575</v>
          </cell>
          <cell r="BA46"/>
          <cell r="BB46">
            <v>0</v>
          </cell>
          <cell r="BC46">
            <v>300000</v>
          </cell>
          <cell r="BD46">
            <v>150000</v>
          </cell>
          <cell r="BE46">
            <v>0</v>
          </cell>
          <cell r="BF46">
            <v>3084300</v>
          </cell>
          <cell r="BG46">
            <v>0</v>
          </cell>
          <cell r="BH46">
            <v>750000</v>
          </cell>
          <cell r="BI46">
            <v>550000</v>
          </cell>
          <cell r="BJ46"/>
          <cell r="BK46"/>
          <cell r="BL46"/>
          <cell r="BM46">
            <v>1634403</v>
          </cell>
          <cell r="BN46"/>
          <cell r="BO46">
            <v>5463577</v>
          </cell>
          <cell r="BP46">
            <v>293525</v>
          </cell>
          <cell r="BQ46">
            <v>0</v>
          </cell>
          <cell r="BR46">
            <v>0</v>
          </cell>
          <cell r="BS46">
            <v>0</v>
          </cell>
          <cell r="BT46">
            <v>24963032</v>
          </cell>
          <cell r="BU46">
            <v>987053</v>
          </cell>
          <cell r="BV46">
            <v>40000</v>
          </cell>
          <cell r="BW46">
            <v>11000000</v>
          </cell>
          <cell r="BX46">
            <v>1</v>
          </cell>
          <cell r="BY46">
            <v>4400000</v>
          </cell>
          <cell r="BZ46">
            <v>18352889</v>
          </cell>
          <cell r="CA46">
            <v>1965836</v>
          </cell>
          <cell r="CB46">
            <v>98292</v>
          </cell>
          <cell r="CC46"/>
          <cell r="CD46">
            <v>1125345</v>
          </cell>
          <cell r="CE46">
            <v>23837687</v>
          </cell>
        </row>
        <row r="47">
          <cell r="B47" t="str">
            <v>111205</v>
          </cell>
          <cell r="C47" t="str">
            <v>Nguyễn Thanh Toàn</v>
          </cell>
          <cell r="D47">
            <v>8082903205</v>
          </cell>
          <cell r="E47" t="str">
            <v>0371000420974</v>
          </cell>
          <cell r="F47">
            <v>40898</v>
          </cell>
          <cell r="G47" t="str">
            <v>Factory</v>
          </cell>
          <cell r="H47"/>
          <cell r="I47"/>
          <cell r="J47"/>
          <cell r="K47"/>
          <cell r="L47">
            <v>7706800</v>
          </cell>
          <cell r="M47">
            <v>992000</v>
          </cell>
          <cell r="N47">
            <v>300000</v>
          </cell>
          <cell r="O47">
            <v>150000</v>
          </cell>
          <cell r="P47">
            <v>0</v>
          </cell>
          <cell r="Q47">
            <v>1577000</v>
          </cell>
          <cell r="R47">
            <v>10725800</v>
          </cell>
          <cell r="S47">
            <v>296415.38461538462</v>
          </cell>
          <cell r="T47">
            <v>37051.923076923078</v>
          </cell>
          <cell r="U47">
            <v>11</v>
          </cell>
          <cell r="V47">
            <v>12</v>
          </cell>
          <cell r="W47">
            <v>1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3</v>
          </cell>
          <cell r="AC47">
            <v>0</v>
          </cell>
          <cell r="AD47">
            <v>0</v>
          </cell>
          <cell r="AE47">
            <v>0</v>
          </cell>
          <cell r="AF47">
            <v>12</v>
          </cell>
          <cell r="AG47"/>
          <cell r="AH47">
            <v>25</v>
          </cell>
          <cell r="AI47">
            <v>20</v>
          </cell>
          <cell r="AJ47">
            <v>21</v>
          </cell>
          <cell r="AK47"/>
          <cell r="AL47">
            <v>54</v>
          </cell>
          <cell r="AM47">
            <v>4</v>
          </cell>
          <cell r="AN47">
            <v>0</v>
          </cell>
          <cell r="AO47">
            <v>0</v>
          </cell>
          <cell r="AP47">
            <v>0</v>
          </cell>
          <cell r="AQ47">
            <v>3260569</v>
          </cell>
          <cell r="AR47">
            <v>4624080</v>
          </cell>
          <cell r="AS47">
            <v>592831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889246</v>
          </cell>
          <cell r="AY47">
            <v>0</v>
          </cell>
          <cell r="AZ47">
            <v>1067095</v>
          </cell>
          <cell r="BA47"/>
          <cell r="BB47">
            <v>992000</v>
          </cell>
          <cell r="BC47">
            <v>300000</v>
          </cell>
          <cell r="BD47">
            <v>150000</v>
          </cell>
          <cell r="BE47">
            <v>0</v>
          </cell>
          <cell r="BF47">
            <v>1577000</v>
          </cell>
          <cell r="BG47">
            <v>0</v>
          </cell>
          <cell r="BH47">
            <v>750000</v>
          </cell>
          <cell r="BI47">
            <v>500000</v>
          </cell>
          <cell r="BJ47"/>
          <cell r="BK47"/>
          <cell r="BL47"/>
          <cell r="BM47">
            <v>1167136</v>
          </cell>
          <cell r="BN47"/>
          <cell r="BO47">
            <v>4201688</v>
          </cell>
          <cell r="BP47">
            <v>326057</v>
          </cell>
          <cell r="BQ47">
            <v>0</v>
          </cell>
          <cell r="BR47">
            <v>0</v>
          </cell>
          <cell r="BS47">
            <v>0</v>
          </cell>
          <cell r="BT47">
            <v>20397702</v>
          </cell>
          <cell r="BU47">
            <v>929124</v>
          </cell>
          <cell r="BV47">
            <v>40000</v>
          </cell>
          <cell r="BW47">
            <v>11000000</v>
          </cell>
          <cell r="BX47">
            <v>1</v>
          </cell>
          <cell r="BY47">
            <v>4400000</v>
          </cell>
          <cell r="BZ47">
            <v>15016412</v>
          </cell>
          <cell r="CA47">
            <v>0</v>
          </cell>
          <cell r="CB47">
            <v>0</v>
          </cell>
          <cell r="CC47"/>
          <cell r="CD47">
            <v>969124</v>
          </cell>
          <cell r="CE47">
            <v>19428578</v>
          </cell>
        </row>
        <row r="48">
          <cell r="B48" t="str">
            <v>160309</v>
          </cell>
          <cell r="C48" t="str">
            <v>Phan Thị Thu Hiền</v>
          </cell>
          <cell r="D48">
            <v>8035743226</v>
          </cell>
          <cell r="E48" t="str">
            <v>1071000579078</v>
          </cell>
          <cell r="F48">
            <v>42430</v>
          </cell>
          <cell r="G48" t="str">
            <v>Factory</v>
          </cell>
          <cell r="H48"/>
          <cell r="I48"/>
          <cell r="J48"/>
          <cell r="K48"/>
          <cell r="L48">
            <v>8300800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2340000</v>
          </cell>
          <cell r="R48">
            <v>10640800</v>
          </cell>
          <cell r="S48">
            <v>319261.53846153844</v>
          </cell>
          <cell r="T48">
            <v>39907.692307692305</v>
          </cell>
          <cell r="U48">
            <v>13</v>
          </cell>
          <cell r="V48">
            <v>13</v>
          </cell>
          <cell r="W48">
            <v>1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14</v>
          </cell>
          <cell r="AG48">
            <v>1.5</v>
          </cell>
          <cell r="AH48">
            <v>29</v>
          </cell>
          <cell r="AI48">
            <v>26</v>
          </cell>
          <cell r="AJ48">
            <v>37</v>
          </cell>
          <cell r="AK48"/>
          <cell r="AL48">
            <v>58.5</v>
          </cell>
          <cell r="AM48">
            <v>4</v>
          </cell>
          <cell r="AN48">
            <v>4.5</v>
          </cell>
          <cell r="AO48">
            <v>0</v>
          </cell>
          <cell r="AP48">
            <v>0</v>
          </cell>
          <cell r="AQ48">
            <v>4150400</v>
          </cell>
          <cell r="AR48">
            <v>5395520</v>
          </cell>
          <cell r="AS48">
            <v>638523</v>
          </cell>
          <cell r="AT48">
            <v>734302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1340898</v>
          </cell>
          <cell r="BA48"/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2340000</v>
          </cell>
          <cell r="BG48">
            <v>89792</v>
          </cell>
          <cell r="BH48">
            <v>870000</v>
          </cell>
          <cell r="BI48">
            <v>650000</v>
          </cell>
          <cell r="BJ48"/>
          <cell r="BK48"/>
          <cell r="BL48"/>
          <cell r="BM48">
            <v>2214877</v>
          </cell>
          <cell r="BN48"/>
          <cell r="BO48">
            <v>4902660</v>
          </cell>
          <cell r="BP48">
            <v>351188</v>
          </cell>
          <cell r="BQ48">
            <v>484878</v>
          </cell>
          <cell r="BR48">
            <v>0</v>
          </cell>
          <cell r="BS48">
            <v>0</v>
          </cell>
          <cell r="BT48">
            <v>24163038</v>
          </cell>
          <cell r="BU48">
            <v>871584</v>
          </cell>
          <cell r="BV48">
            <v>40000</v>
          </cell>
          <cell r="BW48">
            <v>11000000</v>
          </cell>
          <cell r="BX48">
            <v>2</v>
          </cell>
          <cell r="BY48">
            <v>8800000</v>
          </cell>
          <cell r="BZ48">
            <v>16860413</v>
          </cell>
          <cell r="CA48">
            <v>0</v>
          </cell>
          <cell r="CB48">
            <v>0</v>
          </cell>
          <cell r="CC48"/>
          <cell r="CD48">
            <v>911584</v>
          </cell>
          <cell r="CE48">
            <v>23251454</v>
          </cell>
        </row>
        <row r="49">
          <cell r="B49" t="str">
            <v>170911</v>
          </cell>
          <cell r="C49" t="str">
            <v>Lường Văn Ánh</v>
          </cell>
          <cell r="D49">
            <v>8068243934</v>
          </cell>
          <cell r="E49">
            <v>1030879956</v>
          </cell>
          <cell r="F49">
            <v>42992</v>
          </cell>
          <cell r="G49" t="str">
            <v>Factory</v>
          </cell>
          <cell r="H49"/>
          <cell r="I49"/>
          <cell r="J49"/>
          <cell r="K49"/>
          <cell r="L49">
            <v>7940800</v>
          </cell>
          <cell r="M49">
            <v>0</v>
          </cell>
          <cell r="N49">
            <v>300000</v>
          </cell>
          <cell r="O49">
            <v>0</v>
          </cell>
          <cell r="P49">
            <v>0</v>
          </cell>
          <cell r="Q49">
            <v>2340000</v>
          </cell>
          <cell r="R49">
            <v>10580800</v>
          </cell>
          <cell r="S49">
            <v>305415.38461538462</v>
          </cell>
          <cell r="T49">
            <v>38176.923076923078</v>
          </cell>
          <cell r="U49">
            <v>11.5</v>
          </cell>
          <cell r="V49">
            <v>13</v>
          </cell>
          <cell r="W49">
            <v>1</v>
          </cell>
          <cell r="X49">
            <v>1</v>
          </cell>
          <cell r="Y49">
            <v>0</v>
          </cell>
          <cell r="Z49">
            <v>0</v>
          </cell>
          <cell r="AA49">
            <v>0</v>
          </cell>
          <cell r="AB49">
            <v>1.5</v>
          </cell>
          <cell r="AC49">
            <v>0</v>
          </cell>
          <cell r="AD49">
            <v>0</v>
          </cell>
          <cell r="AE49">
            <v>0</v>
          </cell>
          <cell r="AF49">
            <v>14</v>
          </cell>
          <cell r="AG49"/>
          <cell r="AH49">
            <v>28</v>
          </cell>
          <cell r="AI49">
            <v>23</v>
          </cell>
          <cell r="AJ49">
            <v>25.5</v>
          </cell>
          <cell r="AK49"/>
          <cell r="AL49">
            <v>58.5</v>
          </cell>
          <cell r="AM49">
            <v>3</v>
          </cell>
          <cell r="AN49">
            <v>4.5</v>
          </cell>
          <cell r="AO49">
            <v>0</v>
          </cell>
          <cell r="AP49">
            <v>0</v>
          </cell>
          <cell r="AQ49">
            <v>3512277</v>
          </cell>
          <cell r="AR49">
            <v>5161520</v>
          </cell>
          <cell r="AS49">
            <v>610831</v>
          </cell>
          <cell r="AT49">
            <v>702455</v>
          </cell>
          <cell r="AU49">
            <v>0</v>
          </cell>
          <cell r="AV49">
            <v>0</v>
          </cell>
          <cell r="AW49">
            <v>0</v>
          </cell>
          <cell r="AX49">
            <v>458123</v>
          </cell>
          <cell r="AY49">
            <v>0</v>
          </cell>
          <cell r="AZ49">
            <v>1282745</v>
          </cell>
          <cell r="BA49"/>
          <cell r="BB49">
            <v>0</v>
          </cell>
          <cell r="BC49">
            <v>300000</v>
          </cell>
          <cell r="BD49">
            <v>0</v>
          </cell>
          <cell r="BE49">
            <v>0</v>
          </cell>
          <cell r="BF49">
            <v>2340000</v>
          </cell>
          <cell r="BG49">
            <v>0</v>
          </cell>
          <cell r="BH49">
            <v>840000</v>
          </cell>
          <cell r="BI49">
            <v>575000</v>
          </cell>
          <cell r="BJ49"/>
          <cell r="BK49"/>
          <cell r="BL49"/>
          <cell r="BM49">
            <v>1460267</v>
          </cell>
          <cell r="BN49"/>
          <cell r="BO49">
            <v>4690035</v>
          </cell>
          <cell r="BP49">
            <v>251968</v>
          </cell>
          <cell r="BQ49">
            <v>463850</v>
          </cell>
          <cell r="BR49">
            <v>0</v>
          </cell>
          <cell r="BS49">
            <v>0</v>
          </cell>
          <cell r="BT49">
            <v>22649071</v>
          </cell>
          <cell r="BU49">
            <v>833784</v>
          </cell>
          <cell r="BV49">
            <v>40000</v>
          </cell>
          <cell r="BW49">
            <v>11000000</v>
          </cell>
          <cell r="BX49">
            <v>2</v>
          </cell>
          <cell r="BY49">
            <v>8800000</v>
          </cell>
          <cell r="BZ49">
            <v>15967564</v>
          </cell>
          <cell r="CA49">
            <v>0</v>
          </cell>
          <cell r="CB49">
            <v>0</v>
          </cell>
          <cell r="CC49"/>
          <cell r="CD49">
            <v>873784</v>
          </cell>
          <cell r="CE49">
            <v>21775287</v>
          </cell>
        </row>
        <row r="50">
          <cell r="B50" t="str">
            <v>200918</v>
          </cell>
          <cell r="C50" t="str">
            <v>Võ Văn Bình</v>
          </cell>
          <cell r="D50">
            <v>8411929547</v>
          </cell>
          <cell r="E50" t="str">
            <v>1013556442</v>
          </cell>
          <cell r="F50">
            <v>44077</v>
          </cell>
          <cell r="G50" t="str">
            <v>Factory</v>
          </cell>
          <cell r="H50"/>
          <cell r="I50"/>
          <cell r="J50"/>
          <cell r="K50"/>
          <cell r="L50">
            <v>6280800</v>
          </cell>
          <cell r="M50">
            <v>992000</v>
          </cell>
          <cell r="N50">
            <v>0</v>
          </cell>
          <cell r="O50">
            <v>0</v>
          </cell>
          <cell r="P50">
            <v>100000</v>
          </cell>
          <cell r="Q50">
            <v>1414000</v>
          </cell>
          <cell r="R50">
            <v>8786800</v>
          </cell>
          <cell r="S50">
            <v>241569.23076923078</v>
          </cell>
          <cell r="T50">
            <v>30196.153846153848</v>
          </cell>
          <cell r="U50">
            <v>12</v>
          </cell>
          <cell r="V50">
            <v>13</v>
          </cell>
          <cell r="W50">
            <v>1</v>
          </cell>
          <cell r="X50">
            <v>1</v>
          </cell>
          <cell r="Y50">
            <v>0</v>
          </cell>
          <cell r="Z50">
            <v>0</v>
          </cell>
          <cell r="AA50">
            <v>0</v>
          </cell>
          <cell r="AB50">
            <v>1</v>
          </cell>
          <cell r="AC50">
            <v>0</v>
          </cell>
          <cell r="AD50">
            <v>0</v>
          </cell>
          <cell r="AE50">
            <v>0</v>
          </cell>
          <cell r="AF50">
            <v>14</v>
          </cell>
          <cell r="AG50"/>
          <cell r="AH50">
            <v>28</v>
          </cell>
          <cell r="AI50">
            <v>22</v>
          </cell>
          <cell r="AJ50">
            <v>25.5</v>
          </cell>
          <cell r="AK50"/>
          <cell r="AL50">
            <v>54.5</v>
          </cell>
          <cell r="AM50">
            <v>3</v>
          </cell>
          <cell r="AN50">
            <v>4.5</v>
          </cell>
          <cell r="AO50">
            <v>0</v>
          </cell>
          <cell r="AP50">
            <v>0</v>
          </cell>
          <cell r="AQ50">
            <v>2898831</v>
          </cell>
          <cell r="AR50">
            <v>4082520</v>
          </cell>
          <cell r="AS50">
            <v>483138</v>
          </cell>
          <cell r="AT50">
            <v>555609</v>
          </cell>
          <cell r="AU50">
            <v>0</v>
          </cell>
          <cell r="AV50">
            <v>0</v>
          </cell>
          <cell r="AW50">
            <v>0</v>
          </cell>
          <cell r="AX50">
            <v>241569</v>
          </cell>
          <cell r="AY50">
            <v>0</v>
          </cell>
          <cell r="AZ50">
            <v>1014591</v>
          </cell>
          <cell r="BA50"/>
          <cell r="BB50">
            <v>992000</v>
          </cell>
          <cell r="BC50">
            <v>0</v>
          </cell>
          <cell r="BD50">
            <v>0</v>
          </cell>
          <cell r="BE50">
            <v>100000</v>
          </cell>
          <cell r="BF50">
            <v>1414000</v>
          </cell>
          <cell r="BG50">
            <v>0</v>
          </cell>
          <cell r="BH50">
            <v>840000</v>
          </cell>
          <cell r="BI50">
            <v>550000</v>
          </cell>
          <cell r="BJ50"/>
          <cell r="BK50"/>
          <cell r="BL50"/>
          <cell r="BM50">
            <v>1155003</v>
          </cell>
          <cell r="BN50"/>
          <cell r="BO50">
            <v>3455950</v>
          </cell>
          <cell r="BP50">
            <v>199295</v>
          </cell>
          <cell r="BQ50">
            <v>366883</v>
          </cell>
          <cell r="BR50">
            <v>0</v>
          </cell>
          <cell r="BS50">
            <v>0</v>
          </cell>
          <cell r="BT50">
            <v>18349389</v>
          </cell>
          <cell r="BU50">
            <v>763644</v>
          </cell>
          <cell r="BV50">
            <v>40000</v>
          </cell>
          <cell r="BW50">
            <v>11000000</v>
          </cell>
          <cell r="BX50">
            <v>1</v>
          </cell>
          <cell r="BY50">
            <v>4400000</v>
          </cell>
          <cell r="BZ50">
            <v>12926693</v>
          </cell>
          <cell r="CA50">
            <v>0</v>
          </cell>
          <cell r="CB50">
            <v>0</v>
          </cell>
          <cell r="CC50"/>
          <cell r="CD50">
            <v>803644</v>
          </cell>
          <cell r="CE50">
            <v>17545745</v>
          </cell>
        </row>
        <row r="51">
          <cell r="B51" t="str">
            <v>200919</v>
          </cell>
          <cell r="C51" t="str">
            <v>Bùi Thị Hồng Trang</v>
          </cell>
          <cell r="D51">
            <v>8395457100</v>
          </cell>
          <cell r="E51" t="str">
            <v>1013556360</v>
          </cell>
          <cell r="F51">
            <v>44077</v>
          </cell>
          <cell r="G51" t="str">
            <v>Factory</v>
          </cell>
          <cell r="H51"/>
          <cell r="I51"/>
          <cell r="J51"/>
          <cell r="K51"/>
          <cell r="L51">
            <v>6130800</v>
          </cell>
          <cell r="M51">
            <v>0</v>
          </cell>
          <cell r="N51">
            <v>0</v>
          </cell>
          <cell r="O51">
            <v>0</v>
          </cell>
          <cell r="P51">
            <v>100000</v>
          </cell>
          <cell r="Q51">
            <v>1364000</v>
          </cell>
          <cell r="R51">
            <v>7594800</v>
          </cell>
          <cell r="S51">
            <v>235800</v>
          </cell>
          <cell r="T51">
            <v>29475</v>
          </cell>
          <cell r="U51">
            <v>11.5</v>
          </cell>
          <cell r="V51">
            <v>12</v>
          </cell>
          <cell r="W51">
            <v>1</v>
          </cell>
          <cell r="X51">
            <v>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3</v>
          </cell>
          <cell r="AF51">
            <v>13</v>
          </cell>
          <cell r="AG51">
            <v>1.5</v>
          </cell>
          <cell r="AH51">
            <v>26</v>
          </cell>
          <cell r="AI51">
            <v>23</v>
          </cell>
          <cell r="AJ51">
            <v>28</v>
          </cell>
          <cell r="AK51"/>
          <cell r="AL51">
            <v>54</v>
          </cell>
          <cell r="AM51">
            <v>3</v>
          </cell>
          <cell r="AN51">
            <v>4.5</v>
          </cell>
          <cell r="AO51">
            <v>0</v>
          </cell>
          <cell r="AP51">
            <v>0</v>
          </cell>
          <cell r="AQ51">
            <v>2711700</v>
          </cell>
          <cell r="AR51">
            <v>3678480</v>
          </cell>
          <cell r="AS51">
            <v>471600</v>
          </cell>
          <cell r="AT51">
            <v>542340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919620</v>
          </cell>
          <cell r="BA51"/>
          <cell r="BB51">
            <v>0</v>
          </cell>
          <cell r="BC51">
            <v>0</v>
          </cell>
          <cell r="BD51">
            <v>0</v>
          </cell>
          <cell r="BE51">
            <v>100000</v>
          </cell>
          <cell r="BF51">
            <v>1364000</v>
          </cell>
          <cell r="BG51">
            <v>66319</v>
          </cell>
          <cell r="BH51">
            <v>780000</v>
          </cell>
          <cell r="BI51">
            <v>575000</v>
          </cell>
          <cell r="BJ51"/>
          <cell r="BK51"/>
          <cell r="BL51"/>
          <cell r="BM51">
            <v>1237950</v>
          </cell>
          <cell r="BN51"/>
          <cell r="BO51">
            <v>3342465</v>
          </cell>
          <cell r="BP51">
            <v>194535</v>
          </cell>
          <cell r="BQ51">
            <v>358121</v>
          </cell>
          <cell r="BR51">
            <v>0</v>
          </cell>
          <cell r="BS51">
            <v>0</v>
          </cell>
          <cell r="BT51">
            <v>16342130</v>
          </cell>
          <cell r="BU51">
            <v>643734</v>
          </cell>
          <cell r="BV51">
            <v>40000</v>
          </cell>
          <cell r="BW51">
            <v>11000000</v>
          </cell>
          <cell r="BX51">
            <v>1</v>
          </cell>
          <cell r="BY51">
            <v>4400000</v>
          </cell>
          <cell r="BZ51">
            <v>11100851</v>
          </cell>
          <cell r="CA51">
            <v>0</v>
          </cell>
          <cell r="CB51">
            <v>0</v>
          </cell>
          <cell r="CC51"/>
          <cell r="CD51">
            <v>683734</v>
          </cell>
          <cell r="CE51">
            <v>15658396</v>
          </cell>
        </row>
        <row r="52">
          <cell r="B52" t="str">
            <v>220627</v>
          </cell>
          <cell r="C52" t="str">
            <v>Trương Huỳnh Thy Ca</v>
          </cell>
          <cell r="D52">
            <v>8128065615</v>
          </cell>
          <cell r="E52">
            <v>1016681631</v>
          </cell>
          <cell r="F52">
            <v>44741</v>
          </cell>
          <cell r="G52" t="str">
            <v>Factory</v>
          </cell>
          <cell r="H52"/>
          <cell r="I52"/>
          <cell r="J52"/>
          <cell r="K52"/>
          <cell r="L52">
            <v>6580800</v>
          </cell>
          <cell r="M52">
            <v>0</v>
          </cell>
          <cell r="N52">
            <v>0</v>
          </cell>
          <cell r="O52">
            <v>0</v>
          </cell>
          <cell r="P52">
            <v>100000</v>
          </cell>
          <cell r="Q52">
            <v>2050000</v>
          </cell>
          <cell r="R52">
            <v>8730800</v>
          </cell>
          <cell r="S52">
            <v>253107.69230769231</v>
          </cell>
          <cell r="T52">
            <v>31638.461538461539</v>
          </cell>
          <cell r="U52">
            <v>12.5</v>
          </cell>
          <cell r="V52">
            <v>13</v>
          </cell>
          <cell r="W52">
            <v>1</v>
          </cell>
          <cell r="X52">
            <v>1</v>
          </cell>
          <cell r="Y52">
            <v>0</v>
          </cell>
          <cell r="Z52">
            <v>0</v>
          </cell>
          <cell r="AA52">
            <v>0</v>
          </cell>
          <cell r="AB52">
            <v>0.5</v>
          </cell>
          <cell r="AC52">
            <v>0</v>
          </cell>
          <cell r="AD52">
            <v>0</v>
          </cell>
          <cell r="AE52">
            <v>0</v>
          </cell>
          <cell r="AF52">
            <v>14</v>
          </cell>
          <cell r="AG52">
            <v>1.5</v>
          </cell>
          <cell r="AH52">
            <v>29</v>
          </cell>
          <cell r="AI52">
            <v>25</v>
          </cell>
          <cell r="AJ52">
            <v>30.5</v>
          </cell>
          <cell r="AK52"/>
          <cell r="AL52">
            <v>58.5</v>
          </cell>
          <cell r="AM52">
            <v>3</v>
          </cell>
          <cell r="AN52">
            <v>4.5</v>
          </cell>
          <cell r="AO52">
            <v>0</v>
          </cell>
          <cell r="AP52">
            <v>0</v>
          </cell>
          <cell r="AQ52">
            <v>3163846</v>
          </cell>
          <cell r="AR52">
            <v>4277520</v>
          </cell>
          <cell r="AS52">
            <v>506215</v>
          </cell>
          <cell r="AT52">
            <v>582148</v>
          </cell>
          <cell r="AU52">
            <v>0</v>
          </cell>
          <cell r="AV52">
            <v>0</v>
          </cell>
          <cell r="AW52">
            <v>0</v>
          </cell>
          <cell r="AX52">
            <v>126554</v>
          </cell>
          <cell r="AY52">
            <v>0</v>
          </cell>
          <cell r="AZ52">
            <v>1063052</v>
          </cell>
          <cell r="BA52"/>
          <cell r="BB52">
            <v>0</v>
          </cell>
          <cell r="BC52">
            <v>0</v>
          </cell>
          <cell r="BD52">
            <v>0</v>
          </cell>
          <cell r="BE52">
            <v>100000</v>
          </cell>
          <cell r="BF52">
            <v>2050000</v>
          </cell>
          <cell r="BG52">
            <v>71187</v>
          </cell>
          <cell r="BH52">
            <v>870000</v>
          </cell>
          <cell r="BI52">
            <v>625000</v>
          </cell>
          <cell r="BJ52"/>
          <cell r="BK52"/>
          <cell r="BL52"/>
          <cell r="BM52">
            <v>1447460</v>
          </cell>
          <cell r="BN52"/>
          <cell r="BO52">
            <v>3886785</v>
          </cell>
          <cell r="BP52">
            <v>208814</v>
          </cell>
          <cell r="BQ52">
            <v>384407</v>
          </cell>
          <cell r="BR52">
            <v>0</v>
          </cell>
          <cell r="BS52">
            <v>0</v>
          </cell>
          <cell r="BT52">
            <v>19362988</v>
          </cell>
          <cell r="BU52">
            <v>690984</v>
          </cell>
          <cell r="BV52">
            <v>40000</v>
          </cell>
          <cell r="BW52">
            <v>11000000</v>
          </cell>
          <cell r="BX52">
            <v>1</v>
          </cell>
          <cell r="BY52">
            <v>4400000</v>
          </cell>
          <cell r="BZ52">
            <v>13424366</v>
          </cell>
          <cell r="CA52">
            <v>0</v>
          </cell>
          <cell r="CB52">
            <v>0</v>
          </cell>
          <cell r="CC52"/>
          <cell r="CD52">
            <v>730984</v>
          </cell>
          <cell r="CE52">
            <v>18632004</v>
          </cell>
        </row>
        <row r="53">
          <cell r="B53" t="str">
            <v>220929</v>
          </cell>
          <cell r="C53" t="str">
            <v>Nguyễn Thị Tuyết Giàu</v>
          </cell>
          <cell r="D53">
            <v>8930666281</v>
          </cell>
          <cell r="E53" t="str">
            <v>1031648245</v>
          </cell>
          <cell r="F53">
            <v>44832</v>
          </cell>
          <cell r="G53" t="str">
            <v>Factory</v>
          </cell>
          <cell r="H53"/>
          <cell r="I53"/>
          <cell r="J53"/>
          <cell r="K53"/>
          <cell r="L53">
            <v>6080800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1250000</v>
          </cell>
          <cell r="R53">
            <v>7330800</v>
          </cell>
          <cell r="S53">
            <v>233876.92307692306</v>
          </cell>
          <cell r="T53">
            <v>29234.615384615383</v>
          </cell>
          <cell r="U53">
            <v>9.5</v>
          </cell>
          <cell r="V53">
            <v>13</v>
          </cell>
          <cell r="W53">
            <v>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0.5</v>
          </cell>
          <cell r="AC53">
            <v>3</v>
          </cell>
          <cell r="AD53">
            <v>0</v>
          </cell>
          <cell r="AE53">
            <v>0</v>
          </cell>
          <cell r="AF53">
            <v>13</v>
          </cell>
          <cell r="AG53">
            <v>1.5</v>
          </cell>
          <cell r="AH53">
            <v>25</v>
          </cell>
          <cell r="AI53">
            <v>21</v>
          </cell>
          <cell r="AJ53">
            <v>21.5</v>
          </cell>
          <cell r="AK53"/>
          <cell r="AL53">
            <v>58.5</v>
          </cell>
          <cell r="AM53">
            <v>3</v>
          </cell>
          <cell r="AN53">
            <v>0</v>
          </cell>
          <cell r="AO53">
            <v>0</v>
          </cell>
          <cell r="AP53">
            <v>0</v>
          </cell>
          <cell r="AQ53">
            <v>2221831</v>
          </cell>
          <cell r="AR53">
            <v>3952520</v>
          </cell>
          <cell r="AS53">
            <v>467754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116938</v>
          </cell>
          <cell r="AY53">
            <v>701631</v>
          </cell>
          <cell r="AZ53">
            <v>912120</v>
          </cell>
          <cell r="BA53"/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1250000</v>
          </cell>
          <cell r="BG53">
            <v>65778</v>
          </cell>
          <cell r="BH53">
            <v>750000</v>
          </cell>
          <cell r="BI53">
            <v>525000</v>
          </cell>
          <cell r="BJ53"/>
          <cell r="BK53"/>
          <cell r="BL53"/>
          <cell r="BM53">
            <v>942816</v>
          </cell>
          <cell r="BN53"/>
          <cell r="BO53">
            <v>3591473</v>
          </cell>
          <cell r="BP53">
            <v>192948</v>
          </cell>
          <cell r="BQ53">
            <v>0</v>
          </cell>
          <cell r="BR53">
            <v>0</v>
          </cell>
          <cell r="BS53">
            <v>0</v>
          </cell>
          <cell r="BT53">
            <v>15690809</v>
          </cell>
          <cell r="BU53">
            <v>638484</v>
          </cell>
          <cell r="BV53">
            <v>40000</v>
          </cell>
          <cell r="BW53">
            <v>11000000</v>
          </cell>
          <cell r="BX53"/>
          <cell r="BY53">
            <v>0</v>
          </cell>
          <cell r="BZ53">
            <v>10969048</v>
          </cell>
          <cell r="CA53">
            <v>0</v>
          </cell>
          <cell r="CB53">
            <v>0</v>
          </cell>
          <cell r="CC53"/>
          <cell r="CD53">
            <v>678484</v>
          </cell>
          <cell r="CE53">
            <v>15012325</v>
          </cell>
        </row>
        <row r="54">
          <cell r="B54" t="str">
            <v>240341</v>
          </cell>
          <cell r="C54" t="str">
            <v>Nguyễn Việt</v>
          </cell>
          <cell r="D54">
            <v>8826024249</v>
          </cell>
          <cell r="E54">
            <v>1044190410</v>
          </cell>
          <cell r="F54">
            <v>45355</v>
          </cell>
          <cell r="G54" t="str">
            <v>Factory</v>
          </cell>
          <cell r="H54"/>
          <cell r="I54"/>
          <cell r="J54"/>
          <cell r="K54"/>
          <cell r="L54">
            <v>5880800</v>
          </cell>
          <cell r="M54">
            <v>0</v>
          </cell>
          <cell r="N54">
            <v>0</v>
          </cell>
          <cell r="O54">
            <v>0</v>
          </cell>
          <cell r="P54">
            <v>100000</v>
          </cell>
          <cell r="Q54">
            <v>650000</v>
          </cell>
          <cell r="R54">
            <v>6630800</v>
          </cell>
          <cell r="S54">
            <v>226184.61538461538</v>
          </cell>
          <cell r="T54">
            <v>28273.076923076922</v>
          </cell>
          <cell r="U54">
            <v>13</v>
          </cell>
          <cell r="V54">
            <v>12.9375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12.9375</v>
          </cell>
          <cell r="AG54"/>
          <cell r="AH54">
            <v>27</v>
          </cell>
          <cell r="AI54">
            <v>22</v>
          </cell>
          <cell r="AJ54">
            <v>28.5</v>
          </cell>
          <cell r="AK54"/>
          <cell r="AL54">
            <v>58.5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2940400</v>
          </cell>
          <cell r="AR54">
            <v>3804143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877879</v>
          </cell>
          <cell r="BA54"/>
          <cell r="BB54">
            <v>0</v>
          </cell>
          <cell r="BC54">
            <v>0</v>
          </cell>
          <cell r="BD54">
            <v>0</v>
          </cell>
          <cell r="BE54">
            <v>100000</v>
          </cell>
          <cell r="BF54">
            <v>650000</v>
          </cell>
          <cell r="BG54">
            <v>0</v>
          </cell>
          <cell r="BH54">
            <v>810000</v>
          </cell>
          <cell r="BI54">
            <v>550000</v>
          </cell>
          <cell r="BJ54"/>
          <cell r="BK54"/>
          <cell r="BL54"/>
          <cell r="BM54">
            <v>1208674</v>
          </cell>
          <cell r="BN54"/>
          <cell r="BO54">
            <v>3473348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14414444</v>
          </cell>
          <cell r="BU54">
            <v>617484</v>
          </cell>
          <cell r="BV54">
            <v>40000</v>
          </cell>
          <cell r="BW54">
            <v>11000000</v>
          </cell>
          <cell r="BX54">
            <v>1</v>
          </cell>
          <cell r="BY54">
            <v>4400000</v>
          </cell>
          <cell r="BZ54">
            <v>9954301</v>
          </cell>
          <cell r="CA54">
            <v>0</v>
          </cell>
          <cell r="CB54">
            <v>0</v>
          </cell>
          <cell r="CC54"/>
          <cell r="CD54">
            <v>657484</v>
          </cell>
          <cell r="CE54">
            <v>13756960</v>
          </cell>
        </row>
        <row r="55">
          <cell r="B55" t="str">
            <v>240648</v>
          </cell>
          <cell r="C55" t="str">
            <v>Trần Văn Tính</v>
          </cell>
          <cell r="D55" t="str">
            <v>8817563163 </v>
          </cell>
          <cell r="E55">
            <v>1027760807</v>
          </cell>
          <cell r="F55">
            <v>45468</v>
          </cell>
          <cell r="G55" t="str">
            <v>Factory</v>
          </cell>
          <cell r="H55"/>
          <cell r="I55"/>
          <cell r="J55"/>
          <cell r="K55"/>
          <cell r="L55">
            <v>5880800</v>
          </cell>
          <cell r="M55">
            <v>0</v>
          </cell>
          <cell r="N55">
            <v>0</v>
          </cell>
          <cell r="O55">
            <v>0</v>
          </cell>
          <cell r="P55">
            <v>200000</v>
          </cell>
          <cell r="Q55">
            <v>650000</v>
          </cell>
          <cell r="R55">
            <v>6730800</v>
          </cell>
          <cell r="S55">
            <v>226184.61538461538</v>
          </cell>
          <cell r="T55">
            <v>28273.076923076922</v>
          </cell>
          <cell r="U55">
            <v>12</v>
          </cell>
          <cell r="V55">
            <v>13</v>
          </cell>
          <cell r="W55">
            <v>1</v>
          </cell>
          <cell r="X55">
            <v>1</v>
          </cell>
          <cell r="Y55">
            <v>0</v>
          </cell>
          <cell r="Z55">
            <v>0</v>
          </cell>
          <cell r="AA55">
            <v>0</v>
          </cell>
          <cell r="AB55">
            <v>1</v>
          </cell>
          <cell r="AC55">
            <v>0</v>
          </cell>
          <cell r="AD55">
            <v>0</v>
          </cell>
          <cell r="AE55">
            <v>0</v>
          </cell>
          <cell r="AF55">
            <v>14</v>
          </cell>
          <cell r="AG55"/>
          <cell r="AH55">
            <v>28</v>
          </cell>
          <cell r="AI55">
            <v>24</v>
          </cell>
          <cell r="AJ55">
            <v>28</v>
          </cell>
          <cell r="AK55"/>
          <cell r="AL55">
            <v>58.5</v>
          </cell>
          <cell r="AM55">
            <v>3</v>
          </cell>
          <cell r="AN55">
            <v>4.5</v>
          </cell>
          <cell r="AO55">
            <v>0</v>
          </cell>
          <cell r="AP55">
            <v>0</v>
          </cell>
          <cell r="AQ55">
            <v>2714215</v>
          </cell>
          <cell r="AR55">
            <v>3822520</v>
          </cell>
          <cell r="AS55">
            <v>452369</v>
          </cell>
          <cell r="AT55">
            <v>520225</v>
          </cell>
          <cell r="AU55">
            <v>0</v>
          </cell>
          <cell r="AV55">
            <v>0</v>
          </cell>
          <cell r="AW55">
            <v>0</v>
          </cell>
          <cell r="AX55">
            <v>226185</v>
          </cell>
          <cell r="AY55">
            <v>0</v>
          </cell>
          <cell r="AZ55">
            <v>949975</v>
          </cell>
          <cell r="BA55"/>
          <cell r="BB55">
            <v>0</v>
          </cell>
          <cell r="BC55">
            <v>0</v>
          </cell>
          <cell r="BD55">
            <v>0</v>
          </cell>
          <cell r="BE55">
            <v>200000</v>
          </cell>
          <cell r="BF55">
            <v>650000</v>
          </cell>
          <cell r="BG55">
            <v>0</v>
          </cell>
          <cell r="BH55">
            <v>840000</v>
          </cell>
          <cell r="BI55">
            <v>600000</v>
          </cell>
          <cell r="BJ55"/>
          <cell r="BK55"/>
          <cell r="BL55"/>
          <cell r="BM55">
            <v>1187469</v>
          </cell>
          <cell r="BN55"/>
          <cell r="BO55">
            <v>3473348</v>
          </cell>
          <cell r="BP55">
            <v>186602</v>
          </cell>
          <cell r="BQ55">
            <v>343518</v>
          </cell>
          <cell r="BR55">
            <v>0</v>
          </cell>
          <cell r="BS55">
            <v>0</v>
          </cell>
          <cell r="BT55">
            <v>16166426</v>
          </cell>
          <cell r="BU55">
            <v>617484</v>
          </cell>
          <cell r="BV55">
            <v>40000</v>
          </cell>
          <cell r="BW55">
            <v>11000000</v>
          </cell>
          <cell r="BX55"/>
          <cell r="BY55">
            <v>0</v>
          </cell>
          <cell r="BZ55">
            <v>10790814</v>
          </cell>
          <cell r="CA55">
            <v>0</v>
          </cell>
          <cell r="CB55">
            <v>0</v>
          </cell>
          <cell r="CC55"/>
          <cell r="CD55">
            <v>657484</v>
          </cell>
          <cell r="CE55">
            <v>15508942</v>
          </cell>
        </row>
        <row r="56">
          <cell r="B56" t="str">
            <v>240753</v>
          </cell>
          <cell r="C56" t="str">
            <v>Ngô Chức Vũ</v>
          </cell>
          <cell r="D56">
            <v>8374385092</v>
          </cell>
          <cell r="E56">
            <v>1045331475</v>
          </cell>
          <cell r="F56">
            <v>45493</v>
          </cell>
          <cell r="G56" t="str">
            <v>Factory</v>
          </cell>
          <cell r="H56"/>
          <cell r="I56"/>
          <cell r="J56"/>
          <cell r="K56"/>
          <cell r="L56">
            <v>6030800</v>
          </cell>
          <cell r="M56">
            <v>0</v>
          </cell>
          <cell r="N56">
            <v>0</v>
          </cell>
          <cell r="O56">
            <v>0</v>
          </cell>
          <cell r="P56">
            <v>100000</v>
          </cell>
          <cell r="Q56">
            <v>700000</v>
          </cell>
          <cell r="R56">
            <v>6830800</v>
          </cell>
          <cell r="S56">
            <v>231953.84615384616</v>
          </cell>
          <cell r="T56">
            <v>28994.23076923077</v>
          </cell>
          <cell r="U56">
            <v>12</v>
          </cell>
          <cell r="V56">
            <v>13</v>
          </cell>
          <cell r="W56">
            <v>1</v>
          </cell>
          <cell r="X56">
            <v>1</v>
          </cell>
          <cell r="Y56">
            <v>0</v>
          </cell>
          <cell r="Z56">
            <v>0</v>
          </cell>
          <cell r="AA56">
            <v>0</v>
          </cell>
          <cell r="AB56">
            <v>1</v>
          </cell>
          <cell r="AC56">
            <v>0</v>
          </cell>
          <cell r="AD56">
            <v>0</v>
          </cell>
          <cell r="AE56">
            <v>0</v>
          </cell>
          <cell r="AF56">
            <v>14</v>
          </cell>
          <cell r="AG56"/>
          <cell r="AH56">
            <v>28</v>
          </cell>
          <cell r="AI56">
            <v>24</v>
          </cell>
          <cell r="AJ56">
            <v>28</v>
          </cell>
          <cell r="AK56"/>
          <cell r="AL56">
            <v>58.5</v>
          </cell>
          <cell r="AM56">
            <v>3</v>
          </cell>
          <cell r="AN56">
            <v>4.5</v>
          </cell>
          <cell r="AO56">
            <v>0</v>
          </cell>
          <cell r="AP56">
            <v>0</v>
          </cell>
          <cell r="AQ56">
            <v>2783446</v>
          </cell>
          <cell r="AR56">
            <v>3920020</v>
          </cell>
          <cell r="AS56">
            <v>463908</v>
          </cell>
          <cell r="AT56">
            <v>533494</v>
          </cell>
          <cell r="AU56">
            <v>0</v>
          </cell>
          <cell r="AV56">
            <v>0</v>
          </cell>
          <cell r="AW56">
            <v>0</v>
          </cell>
          <cell r="AX56">
            <v>231954</v>
          </cell>
          <cell r="AY56">
            <v>0</v>
          </cell>
          <cell r="AZ56">
            <v>974206</v>
          </cell>
          <cell r="BA56"/>
          <cell r="BB56">
            <v>0</v>
          </cell>
          <cell r="BC56">
            <v>0</v>
          </cell>
          <cell r="BD56">
            <v>0</v>
          </cell>
          <cell r="BE56">
            <v>100000</v>
          </cell>
          <cell r="BF56">
            <v>700000</v>
          </cell>
          <cell r="BG56">
            <v>0</v>
          </cell>
          <cell r="BH56">
            <v>840000</v>
          </cell>
          <cell r="BI56">
            <v>600000</v>
          </cell>
          <cell r="BJ56"/>
          <cell r="BK56"/>
          <cell r="BL56"/>
          <cell r="BM56">
            <v>1217758</v>
          </cell>
          <cell r="BN56"/>
          <cell r="BO56">
            <v>3561941</v>
          </cell>
          <cell r="BP56">
            <v>191362</v>
          </cell>
          <cell r="BQ56">
            <v>352280</v>
          </cell>
          <cell r="BR56">
            <v>0</v>
          </cell>
          <cell r="BS56">
            <v>0</v>
          </cell>
          <cell r="BT56">
            <v>16470369</v>
          </cell>
          <cell r="BU56">
            <v>633234</v>
          </cell>
          <cell r="BV56">
            <v>40000</v>
          </cell>
          <cell r="BW56">
            <v>11000000</v>
          </cell>
          <cell r="BX56"/>
          <cell r="BY56">
            <v>0</v>
          </cell>
          <cell r="BZ56">
            <v>10994372</v>
          </cell>
          <cell r="CA56">
            <v>0</v>
          </cell>
          <cell r="CB56">
            <v>0</v>
          </cell>
          <cell r="CC56"/>
          <cell r="CD56">
            <v>673234</v>
          </cell>
          <cell r="CE56">
            <v>15797135</v>
          </cell>
        </row>
        <row r="57">
          <cell r="B57" t="str">
            <v>250257</v>
          </cell>
          <cell r="C57" t="str">
            <v xml:space="preserve">Nguyễn Thùy Nguyên </v>
          </cell>
          <cell r="D57">
            <v>8936999872</v>
          </cell>
          <cell r="E57" t="str">
            <v>1054656124</v>
          </cell>
          <cell r="F57">
            <v>45705</v>
          </cell>
          <cell r="G57" t="str">
            <v>Factory</v>
          </cell>
          <cell r="H57"/>
          <cell r="I57"/>
          <cell r="J57"/>
          <cell r="K57"/>
          <cell r="L57">
            <v>5580800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550000</v>
          </cell>
          <cell r="R57">
            <v>6130800</v>
          </cell>
          <cell r="S57">
            <v>214646.15384615384</v>
          </cell>
          <cell r="T57">
            <v>26830.76923076923</v>
          </cell>
          <cell r="U57">
            <v>13</v>
          </cell>
          <cell r="V57">
            <v>11.8125</v>
          </cell>
          <cell r="W57">
            <v>1</v>
          </cell>
          <cell r="X57">
            <v>1</v>
          </cell>
          <cell r="Y57">
            <v>0</v>
          </cell>
          <cell r="Z57">
            <v>0</v>
          </cell>
          <cell r="AA57">
            <v>0</v>
          </cell>
          <cell r="AB57">
            <v>0.5</v>
          </cell>
          <cell r="AC57">
            <v>0</v>
          </cell>
          <cell r="AD57">
            <v>0</v>
          </cell>
          <cell r="AE57">
            <v>0</v>
          </cell>
          <cell r="AF57">
            <v>12.8125</v>
          </cell>
          <cell r="AG57">
            <v>1.5</v>
          </cell>
          <cell r="AH57">
            <v>28</v>
          </cell>
          <cell r="AI57">
            <v>25</v>
          </cell>
          <cell r="AJ57">
            <v>37</v>
          </cell>
          <cell r="AK57"/>
          <cell r="AL57">
            <v>54</v>
          </cell>
          <cell r="AM57">
            <v>4</v>
          </cell>
          <cell r="AN57">
            <v>4.5</v>
          </cell>
          <cell r="AO57">
            <v>0</v>
          </cell>
          <cell r="AP57">
            <v>0</v>
          </cell>
          <cell r="AQ57">
            <v>2790400</v>
          </cell>
          <cell r="AR57">
            <v>3296160</v>
          </cell>
          <cell r="AS57">
            <v>429292</v>
          </cell>
          <cell r="AT57">
            <v>493686</v>
          </cell>
          <cell r="AU57">
            <v>0</v>
          </cell>
          <cell r="AV57">
            <v>0</v>
          </cell>
          <cell r="AW57">
            <v>0</v>
          </cell>
          <cell r="AX57">
            <v>107323</v>
          </cell>
          <cell r="AY57">
            <v>0</v>
          </cell>
          <cell r="AZ57">
            <v>825046</v>
          </cell>
          <cell r="BA57"/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550000</v>
          </cell>
          <cell r="BG57">
            <v>60369</v>
          </cell>
          <cell r="BH57">
            <v>840000</v>
          </cell>
          <cell r="BI57">
            <v>625000</v>
          </cell>
          <cell r="BJ57"/>
          <cell r="BK57"/>
          <cell r="BL57"/>
          <cell r="BM57">
            <v>1489108</v>
          </cell>
          <cell r="BN57"/>
          <cell r="BO57">
            <v>3042609</v>
          </cell>
          <cell r="BP57">
            <v>236111</v>
          </cell>
          <cell r="BQ57">
            <v>325994</v>
          </cell>
          <cell r="BR57">
            <v>0</v>
          </cell>
          <cell r="BS57">
            <v>0</v>
          </cell>
          <cell r="BT57">
            <v>15111098</v>
          </cell>
          <cell r="BU57">
            <v>585984</v>
          </cell>
          <cell r="BV57">
            <v>40000</v>
          </cell>
          <cell r="BW57">
            <v>11000000</v>
          </cell>
          <cell r="BX57"/>
          <cell r="BY57">
            <v>0</v>
          </cell>
          <cell r="BZ57">
            <v>9967600</v>
          </cell>
          <cell r="CA57">
            <v>0</v>
          </cell>
          <cell r="CB57">
            <v>0</v>
          </cell>
          <cell r="CC57"/>
          <cell r="CD57">
            <v>625984</v>
          </cell>
          <cell r="CE57">
            <v>14485114</v>
          </cell>
        </row>
        <row r="58">
          <cell r="B58" t="str">
            <v>240342</v>
          </cell>
          <cell r="C58" t="str">
            <v>Dương Văn Nhi</v>
          </cell>
          <cell r="D58">
            <v>8930666066</v>
          </cell>
          <cell r="E58">
            <v>1040261969</v>
          </cell>
          <cell r="F58">
            <v>45362</v>
          </cell>
          <cell r="G58" t="str">
            <v>Factory</v>
          </cell>
          <cell r="H58"/>
          <cell r="I58"/>
          <cell r="J58"/>
          <cell r="K58"/>
          <cell r="L58">
            <v>6030800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700000</v>
          </cell>
          <cell r="R58">
            <v>6730800</v>
          </cell>
          <cell r="S58">
            <v>231953.84615384616</v>
          </cell>
          <cell r="T58">
            <v>28994.23076923077</v>
          </cell>
          <cell r="U58">
            <v>13</v>
          </cell>
          <cell r="V58">
            <v>13</v>
          </cell>
          <cell r="W58">
            <v>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13</v>
          </cell>
          <cell r="AG58"/>
          <cell r="AH58">
            <v>28</v>
          </cell>
          <cell r="AI58">
            <v>24</v>
          </cell>
          <cell r="AJ58">
            <v>31</v>
          </cell>
          <cell r="AK58"/>
          <cell r="AL58">
            <v>58.5</v>
          </cell>
          <cell r="AM58">
            <v>4</v>
          </cell>
          <cell r="AN58">
            <v>0</v>
          </cell>
          <cell r="AO58">
            <v>0</v>
          </cell>
          <cell r="AP58">
            <v>0</v>
          </cell>
          <cell r="AQ58">
            <v>3015400</v>
          </cell>
          <cell r="AR58">
            <v>3920020</v>
          </cell>
          <cell r="AS58">
            <v>463908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904620</v>
          </cell>
          <cell r="BA58"/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700000</v>
          </cell>
          <cell r="BG58">
            <v>0</v>
          </cell>
          <cell r="BH58">
            <v>840000</v>
          </cell>
          <cell r="BI58">
            <v>600000</v>
          </cell>
          <cell r="BJ58"/>
          <cell r="BK58"/>
          <cell r="BL58"/>
          <cell r="BM58">
            <v>1348232</v>
          </cell>
          <cell r="BN58"/>
          <cell r="BO58">
            <v>3561941</v>
          </cell>
          <cell r="BP58">
            <v>255149</v>
          </cell>
          <cell r="BQ58">
            <v>0</v>
          </cell>
          <cell r="BR58">
            <v>0</v>
          </cell>
          <cell r="BS58">
            <v>0</v>
          </cell>
          <cell r="BT58">
            <v>15609270</v>
          </cell>
          <cell r="BU58">
            <v>633234</v>
          </cell>
          <cell r="BV58">
            <v>40000</v>
          </cell>
          <cell r="BW58">
            <v>11000000</v>
          </cell>
          <cell r="BX58"/>
          <cell r="BY58">
            <v>0</v>
          </cell>
          <cell r="BZ58">
            <v>10578335</v>
          </cell>
          <cell r="CA58">
            <v>0</v>
          </cell>
          <cell r="CB58">
            <v>0</v>
          </cell>
          <cell r="CC58"/>
          <cell r="CD58">
            <v>673234</v>
          </cell>
          <cell r="CE58">
            <v>14936036</v>
          </cell>
        </row>
        <row r="59">
          <cell r="B59" t="str">
            <v>250362</v>
          </cell>
          <cell r="C59" t="str">
            <v xml:space="preserve">Phùng Thị Kim Chi </v>
          </cell>
          <cell r="D59">
            <v>8085035067</v>
          </cell>
          <cell r="E59" t="str">
            <v>0181003064290</v>
          </cell>
          <cell r="F59">
            <v>45726</v>
          </cell>
          <cell r="G59" t="str">
            <v>Factory</v>
          </cell>
          <cell r="H59"/>
          <cell r="I59"/>
          <cell r="J59"/>
          <cell r="K59"/>
          <cell r="L59">
            <v>5580800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550000</v>
          </cell>
          <cell r="R59">
            <v>6130800</v>
          </cell>
          <cell r="S59">
            <v>214646.15384615384</v>
          </cell>
          <cell r="T59">
            <v>26830.76923076923</v>
          </cell>
          <cell r="U59">
            <v>15</v>
          </cell>
          <cell r="V59">
            <v>10</v>
          </cell>
          <cell r="W59">
            <v>0</v>
          </cell>
          <cell r="X59">
            <v>1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1</v>
          </cell>
          <cell r="AF59">
            <v>11</v>
          </cell>
          <cell r="AG59">
            <v>1.5</v>
          </cell>
          <cell r="AH59">
            <v>27</v>
          </cell>
          <cell r="AI59">
            <v>22</v>
          </cell>
          <cell r="AJ59">
            <v>34.5</v>
          </cell>
          <cell r="AK59"/>
          <cell r="AL59">
            <v>45</v>
          </cell>
          <cell r="AM59">
            <v>0</v>
          </cell>
          <cell r="AN59">
            <v>4.5</v>
          </cell>
          <cell r="AO59">
            <v>0</v>
          </cell>
          <cell r="AP59">
            <v>0</v>
          </cell>
          <cell r="AQ59">
            <v>3219692</v>
          </cell>
          <cell r="AR59">
            <v>2790400</v>
          </cell>
          <cell r="AS59">
            <v>0</v>
          </cell>
          <cell r="AT59">
            <v>493686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708332</v>
          </cell>
          <cell r="BA59"/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550000</v>
          </cell>
          <cell r="BG59">
            <v>60369</v>
          </cell>
          <cell r="BH59">
            <v>810000</v>
          </cell>
          <cell r="BI59">
            <v>550000</v>
          </cell>
          <cell r="BJ59"/>
          <cell r="BK59"/>
          <cell r="BL59"/>
          <cell r="BM59">
            <v>1388492</v>
          </cell>
          <cell r="BN59"/>
          <cell r="BO59">
            <v>2535508</v>
          </cell>
          <cell r="BP59">
            <v>0</v>
          </cell>
          <cell r="BQ59">
            <v>325994</v>
          </cell>
          <cell r="BR59">
            <v>0</v>
          </cell>
          <cell r="BS59">
            <v>0</v>
          </cell>
          <cell r="BT59">
            <v>13432473</v>
          </cell>
          <cell r="BU59">
            <v>585984</v>
          </cell>
          <cell r="BV59">
            <v>40000</v>
          </cell>
          <cell r="BW59">
            <v>11000000</v>
          </cell>
          <cell r="BX59"/>
          <cell r="BY59">
            <v>0</v>
          </cell>
          <cell r="BZ59">
            <v>9153285</v>
          </cell>
          <cell r="CA59">
            <v>0</v>
          </cell>
          <cell r="CB59">
            <v>0</v>
          </cell>
          <cell r="CC59"/>
          <cell r="CD59">
            <v>625984</v>
          </cell>
          <cell r="CE59">
            <v>12806489</v>
          </cell>
        </row>
        <row r="60">
          <cell r="B60" t="str">
            <v>240647</v>
          </cell>
          <cell r="C60" t="str">
            <v>Hoàng Mỹ Linh</v>
          </cell>
          <cell r="D60">
            <v>8663106573</v>
          </cell>
          <cell r="E60">
            <v>1025066679</v>
          </cell>
          <cell r="F60">
            <v>45446</v>
          </cell>
          <cell r="G60" t="str">
            <v>Factory</v>
          </cell>
          <cell r="H60"/>
          <cell r="I60"/>
          <cell r="J60"/>
          <cell r="K60"/>
          <cell r="L60">
            <v>5880800</v>
          </cell>
          <cell r="M60">
            <v>0</v>
          </cell>
          <cell r="N60">
            <v>0</v>
          </cell>
          <cell r="O60">
            <v>0</v>
          </cell>
          <cell r="P60">
            <v>100000</v>
          </cell>
          <cell r="Q60">
            <v>650000</v>
          </cell>
          <cell r="R60">
            <v>6630800</v>
          </cell>
          <cell r="S60">
            <v>226184.61538461538</v>
          </cell>
          <cell r="T60">
            <v>28273.076923076922</v>
          </cell>
          <cell r="U60">
            <v>11.5</v>
          </cell>
          <cell r="V60">
            <v>9</v>
          </cell>
          <cell r="W60">
            <v>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0.5</v>
          </cell>
          <cell r="AC60">
            <v>0</v>
          </cell>
          <cell r="AD60">
            <v>0</v>
          </cell>
          <cell r="AE60">
            <v>5</v>
          </cell>
          <cell r="AF60">
            <v>9</v>
          </cell>
          <cell r="AG60"/>
          <cell r="AH60">
            <v>23</v>
          </cell>
          <cell r="AI60">
            <v>19</v>
          </cell>
          <cell r="AJ60">
            <v>27.5</v>
          </cell>
          <cell r="AK60"/>
          <cell r="AL60">
            <v>40.5</v>
          </cell>
          <cell r="AM60">
            <v>3</v>
          </cell>
          <cell r="AN60">
            <v>0</v>
          </cell>
          <cell r="AO60">
            <v>0</v>
          </cell>
          <cell r="AP60">
            <v>0</v>
          </cell>
          <cell r="AQ60">
            <v>2601123</v>
          </cell>
          <cell r="AR60">
            <v>2646360</v>
          </cell>
          <cell r="AS60">
            <v>452369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113092</v>
          </cell>
          <cell r="AY60">
            <v>0</v>
          </cell>
          <cell r="AZ60">
            <v>610698</v>
          </cell>
          <cell r="BA60"/>
          <cell r="BB60">
            <v>0</v>
          </cell>
          <cell r="BC60">
            <v>0</v>
          </cell>
          <cell r="BD60">
            <v>0</v>
          </cell>
          <cell r="BE60">
            <v>100000</v>
          </cell>
          <cell r="BF60">
            <v>650000</v>
          </cell>
          <cell r="BG60">
            <v>0</v>
          </cell>
          <cell r="BH60">
            <v>690000</v>
          </cell>
          <cell r="BI60">
            <v>475000</v>
          </cell>
          <cell r="BJ60"/>
          <cell r="BK60"/>
          <cell r="BL60"/>
          <cell r="BM60">
            <v>1166264</v>
          </cell>
          <cell r="BN60"/>
          <cell r="BO60">
            <v>2404625</v>
          </cell>
          <cell r="BP60">
            <v>186602</v>
          </cell>
          <cell r="BQ60">
            <v>0</v>
          </cell>
          <cell r="BR60">
            <v>0</v>
          </cell>
          <cell r="BS60">
            <v>0</v>
          </cell>
          <cell r="BT60">
            <v>12096133</v>
          </cell>
          <cell r="BU60">
            <v>617484</v>
          </cell>
          <cell r="BV60">
            <v>40000</v>
          </cell>
          <cell r="BW60">
            <v>11000000</v>
          </cell>
          <cell r="BX60">
            <v>1</v>
          </cell>
          <cell r="BY60">
            <v>4400000</v>
          </cell>
          <cell r="BZ60">
            <v>8344147</v>
          </cell>
          <cell r="CA60">
            <v>0</v>
          </cell>
          <cell r="CB60">
            <v>0</v>
          </cell>
          <cell r="CC60"/>
          <cell r="CD60">
            <v>657484</v>
          </cell>
          <cell r="CE60">
            <v>11438649</v>
          </cell>
        </row>
        <row r="61">
          <cell r="B61" t="str">
            <v>080403</v>
          </cell>
          <cell r="C61" t="str">
            <v>Lương Tấn Dũng</v>
          </cell>
          <cell r="D61">
            <v>8023763926</v>
          </cell>
          <cell r="E61" t="str">
            <v>0281000595801</v>
          </cell>
          <cell r="F61">
            <v>39553</v>
          </cell>
          <cell r="G61" t="str">
            <v>Factory</v>
          </cell>
          <cell r="H61"/>
          <cell r="I61"/>
          <cell r="J61"/>
          <cell r="K61"/>
          <cell r="L61">
            <v>9058800</v>
          </cell>
          <cell r="M61">
            <v>0</v>
          </cell>
          <cell r="N61">
            <v>300000</v>
          </cell>
          <cell r="O61">
            <v>150000</v>
          </cell>
          <cell r="P61">
            <v>0</v>
          </cell>
          <cell r="Q61">
            <v>2927000</v>
          </cell>
          <cell r="R61">
            <v>12435800</v>
          </cell>
          <cell r="S61">
            <v>348415.38461538462</v>
          </cell>
          <cell r="T61">
            <v>43551.923076923078</v>
          </cell>
          <cell r="U61">
            <v>13.75</v>
          </cell>
          <cell r="V61">
            <v>10</v>
          </cell>
          <cell r="W61">
            <v>1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1.5</v>
          </cell>
          <cell r="AC61">
            <v>0</v>
          </cell>
          <cell r="AD61">
            <v>0</v>
          </cell>
          <cell r="AE61">
            <v>0</v>
          </cell>
          <cell r="AF61">
            <v>11</v>
          </cell>
          <cell r="AG61"/>
          <cell r="AH61">
            <v>27</v>
          </cell>
          <cell r="AI61">
            <v>23</v>
          </cell>
          <cell r="AJ61">
            <v>34</v>
          </cell>
          <cell r="AK61"/>
          <cell r="AL61">
            <v>42</v>
          </cell>
          <cell r="AM61">
            <v>3</v>
          </cell>
          <cell r="AN61">
            <v>4.5</v>
          </cell>
          <cell r="AO61">
            <v>0</v>
          </cell>
          <cell r="AP61">
            <v>0</v>
          </cell>
          <cell r="AQ61">
            <v>4790712</v>
          </cell>
          <cell r="AR61">
            <v>4529400</v>
          </cell>
          <cell r="AS61">
            <v>696831</v>
          </cell>
          <cell r="AT61">
            <v>801355</v>
          </cell>
          <cell r="AU61">
            <v>0</v>
          </cell>
          <cell r="AV61">
            <v>0</v>
          </cell>
          <cell r="AW61">
            <v>0</v>
          </cell>
          <cell r="AX61">
            <v>522623</v>
          </cell>
          <cell r="AY61">
            <v>0</v>
          </cell>
          <cell r="AZ61">
            <v>1149771</v>
          </cell>
          <cell r="BA61"/>
          <cell r="BB61">
            <v>0</v>
          </cell>
          <cell r="BC61">
            <v>300000</v>
          </cell>
          <cell r="BD61">
            <v>150000</v>
          </cell>
          <cell r="BE61">
            <v>0</v>
          </cell>
          <cell r="BF61">
            <v>2927000</v>
          </cell>
          <cell r="BG61">
            <v>0</v>
          </cell>
          <cell r="BH61">
            <v>810000</v>
          </cell>
          <cell r="BI61">
            <v>575000</v>
          </cell>
          <cell r="BJ61"/>
          <cell r="BK61"/>
          <cell r="BL61"/>
          <cell r="BM61">
            <v>2221148</v>
          </cell>
          <cell r="BN61"/>
          <cell r="BO61">
            <v>3841280</v>
          </cell>
          <cell r="BP61">
            <v>287443</v>
          </cell>
          <cell r="BQ61">
            <v>529156</v>
          </cell>
          <cell r="BR61">
            <v>0</v>
          </cell>
          <cell r="BS61">
            <v>0</v>
          </cell>
          <cell r="BT61">
            <v>24131719</v>
          </cell>
          <cell r="BU61">
            <v>966924</v>
          </cell>
          <cell r="BV61">
            <v>40000</v>
          </cell>
          <cell r="BW61">
            <v>11000000</v>
          </cell>
          <cell r="BX61">
            <v>1</v>
          </cell>
          <cell r="BY61">
            <v>4400000</v>
          </cell>
          <cell r="BZ61">
            <v>17657676</v>
          </cell>
          <cell r="CA61">
            <v>1290752</v>
          </cell>
          <cell r="CB61">
            <v>64538</v>
          </cell>
          <cell r="CC61"/>
          <cell r="CD61">
            <v>1071462</v>
          </cell>
          <cell r="CE61">
            <v>23060257</v>
          </cell>
        </row>
        <row r="62">
          <cell r="B62" t="str">
            <v>111004</v>
          </cell>
          <cell r="C62" t="str">
            <v>Dương Chấn An</v>
          </cell>
          <cell r="D62">
            <v>8127362372</v>
          </cell>
          <cell r="E62" t="str">
            <v>1019916834</v>
          </cell>
          <cell r="F62">
            <v>40838</v>
          </cell>
          <cell r="G62" t="str">
            <v>Factory</v>
          </cell>
          <cell r="H62"/>
          <cell r="I62"/>
          <cell r="J62"/>
          <cell r="K62"/>
          <cell r="L62">
            <v>7777000</v>
          </cell>
          <cell r="M62">
            <v>0</v>
          </cell>
          <cell r="N62">
            <v>300000</v>
          </cell>
          <cell r="O62">
            <v>150000</v>
          </cell>
          <cell r="P62">
            <v>100000</v>
          </cell>
          <cell r="Q62">
            <v>2592800</v>
          </cell>
          <cell r="R62">
            <v>10919800</v>
          </cell>
          <cell r="S62">
            <v>299115.38461538462</v>
          </cell>
          <cell r="T62">
            <v>37389.423076923078</v>
          </cell>
          <cell r="U62">
            <v>16</v>
          </cell>
          <cell r="V62">
            <v>10</v>
          </cell>
          <cell r="W62">
            <v>0</v>
          </cell>
          <cell r="X62">
            <v>1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11</v>
          </cell>
          <cell r="AG62"/>
          <cell r="AH62">
            <v>28</v>
          </cell>
          <cell r="AI62">
            <v>24</v>
          </cell>
          <cell r="AJ62">
            <v>40</v>
          </cell>
          <cell r="AK62"/>
          <cell r="AL62">
            <v>45</v>
          </cell>
          <cell r="AM62">
            <v>0</v>
          </cell>
          <cell r="AN62">
            <v>4.5</v>
          </cell>
          <cell r="AO62">
            <v>0</v>
          </cell>
          <cell r="AP62">
            <v>0</v>
          </cell>
          <cell r="AQ62">
            <v>4785846</v>
          </cell>
          <cell r="AR62">
            <v>3888500</v>
          </cell>
          <cell r="AS62">
            <v>0</v>
          </cell>
          <cell r="AT62">
            <v>687965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987081</v>
          </cell>
          <cell r="BA62"/>
          <cell r="BB62">
            <v>0</v>
          </cell>
          <cell r="BC62">
            <v>300000</v>
          </cell>
          <cell r="BD62">
            <v>150000</v>
          </cell>
          <cell r="BE62">
            <v>100000</v>
          </cell>
          <cell r="BF62">
            <v>2592800</v>
          </cell>
          <cell r="BG62">
            <v>0</v>
          </cell>
          <cell r="BH62">
            <v>840000</v>
          </cell>
          <cell r="BI62">
            <v>600000</v>
          </cell>
          <cell r="BJ62"/>
          <cell r="BK62"/>
          <cell r="BL62"/>
          <cell r="BM62">
            <v>2243365</v>
          </cell>
          <cell r="BN62"/>
          <cell r="BO62">
            <v>3533300</v>
          </cell>
          <cell r="BP62">
            <v>0</v>
          </cell>
          <cell r="BQ62">
            <v>454281</v>
          </cell>
          <cell r="BR62">
            <v>0</v>
          </cell>
          <cell r="BS62">
            <v>0</v>
          </cell>
          <cell r="BT62">
            <v>21163138</v>
          </cell>
          <cell r="BU62">
            <v>832335</v>
          </cell>
          <cell r="BV62">
            <v>40000</v>
          </cell>
          <cell r="BW62">
            <v>11000000</v>
          </cell>
          <cell r="BX62">
            <v>1</v>
          </cell>
          <cell r="BY62">
            <v>4400000</v>
          </cell>
          <cell r="BZ62">
            <v>15552349</v>
          </cell>
          <cell r="CA62">
            <v>0</v>
          </cell>
          <cell r="CB62">
            <v>0</v>
          </cell>
          <cell r="CC62"/>
          <cell r="CD62">
            <v>872335</v>
          </cell>
          <cell r="CE62">
            <v>20290803</v>
          </cell>
        </row>
        <row r="63">
          <cell r="B63" t="str">
            <v>121107</v>
          </cell>
          <cell r="C63" t="str">
            <v>Trần Hoàng Sơn</v>
          </cell>
          <cell r="D63">
            <v>8352046258</v>
          </cell>
          <cell r="E63" t="str">
            <v>0281000627407</v>
          </cell>
          <cell r="F63">
            <v>41223</v>
          </cell>
          <cell r="G63" t="str">
            <v>Factory</v>
          </cell>
          <cell r="H63"/>
          <cell r="I63"/>
          <cell r="J63"/>
          <cell r="K63"/>
          <cell r="L63">
            <v>6940000</v>
          </cell>
          <cell r="M63">
            <v>0</v>
          </cell>
          <cell r="N63">
            <v>0</v>
          </cell>
          <cell r="O63">
            <v>150000</v>
          </cell>
          <cell r="P63">
            <v>0</v>
          </cell>
          <cell r="Q63">
            <v>2312800</v>
          </cell>
          <cell r="R63">
            <v>9402800</v>
          </cell>
          <cell r="S63">
            <v>266923.07692307694</v>
          </cell>
          <cell r="T63">
            <v>33365.384615384617</v>
          </cell>
          <cell r="U63">
            <v>16</v>
          </cell>
          <cell r="V63">
            <v>10</v>
          </cell>
          <cell r="W63">
            <v>0</v>
          </cell>
          <cell r="X63">
            <v>1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11</v>
          </cell>
          <cell r="AG63"/>
          <cell r="AH63">
            <v>28</v>
          </cell>
          <cell r="AI63">
            <v>25</v>
          </cell>
          <cell r="AJ63">
            <v>44</v>
          </cell>
          <cell r="AK63"/>
          <cell r="AL63">
            <v>45</v>
          </cell>
          <cell r="AM63">
            <v>0</v>
          </cell>
          <cell r="AN63">
            <v>4.5</v>
          </cell>
          <cell r="AO63">
            <v>0</v>
          </cell>
          <cell r="AP63">
            <v>0</v>
          </cell>
          <cell r="AQ63">
            <v>4270769</v>
          </cell>
          <cell r="AR63">
            <v>3470000</v>
          </cell>
          <cell r="AS63">
            <v>0</v>
          </cell>
          <cell r="AT63">
            <v>613923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880846</v>
          </cell>
          <cell r="BA63">
            <v>300000</v>
          </cell>
          <cell r="BB63">
            <v>0</v>
          </cell>
          <cell r="BC63">
            <v>0</v>
          </cell>
          <cell r="BD63">
            <v>150000</v>
          </cell>
          <cell r="BE63">
            <v>0</v>
          </cell>
          <cell r="BF63">
            <v>2312800</v>
          </cell>
          <cell r="BG63">
            <v>0</v>
          </cell>
          <cell r="BH63">
            <v>840000</v>
          </cell>
          <cell r="BI63">
            <v>625000</v>
          </cell>
          <cell r="BJ63"/>
          <cell r="BK63"/>
          <cell r="BL63"/>
          <cell r="BM63">
            <v>2202115</v>
          </cell>
          <cell r="BN63"/>
          <cell r="BO63">
            <v>3153029</v>
          </cell>
          <cell r="BP63">
            <v>0</v>
          </cell>
          <cell r="BQ63">
            <v>405389</v>
          </cell>
          <cell r="BR63">
            <v>0</v>
          </cell>
          <cell r="BS63">
            <v>0</v>
          </cell>
          <cell r="BT63">
            <v>19223871</v>
          </cell>
          <cell r="BU63">
            <v>744450</v>
          </cell>
          <cell r="BV63">
            <v>40000</v>
          </cell>
          <cell r="BW63">
            <v>11000000</v>
          </cell>
          <cell r="BX63">
            <v>2</v>
          </cell>
          <cell r="BY63">
            <v>8800000</v>
          </cell>
          <cell r="BZ63">
            <v>13970232</v>
          </cell>
          <cell r="CA63">
            <v>0</v>
          </cell>
          <cell r="CB63">
            <v>0</v>
          </cell>
          <cell r="CC63"/>
          <cell r="CD63">
            <v>784450</v>
          </cell>
          <cell r="CE63">
            <v>18439421</v>
          </cell>
        </row>
        <row r="64">
          <cell r="B64" t="str">
            <v>151008</v>
          </cell>
          <cell r="C64" t="str">
            <v>Trần Văn Định</v>
          </cell>
          <cell r="D64">
            <v>8310658989</v>
          </cell>
          <cell r="E64" t="str">
            <v>1015154450</v>
          </cell>
          <cell r="F64">
            <v>42290</v>
          </cell>
          <cell r="G64" t="str">
            <v>Factory</v>
          </cell>
          <cell r="H64"/>
          <cell r="I64"/>
          <cell r="J64"/>
          <cell r="K64"/>
          <cell r="L64">
            <v>7915000</v>
          </cell>
          <cell r="M64">
            <v>0</v>
          </cell>
          <cell r="N64">
            <v>300000</v>
          </cell>
          <cell r="O64">
            <v>150000</v>
          </cell>
          <cell r="P64">
            <v>0</v>
          </cell>
          <cell r="Q64">
            <v>2637800</v>
          </cell>
          <cell r="R64">
            <v>11002800</v>
          </cell>
          <cell r="S64">
            <v>304423.07692307694</v>
          </cell>
          <cell r="T64">
            <v>38052.884615384617</v>
          </cell>
          <cell r="U64">
            <v>15.5</v>
          </cell>
          <cell r="V64">
            <v>11</v>
          </cell>
          <cell r="W64">
            <v>1</v>
          </cell>
          <cell r="X64">
            <v>1</v>
          </cell>
          <cell r="Y64">
            <v>0</v>
          </cell>
          <cell r="Z64">
            <v>0</v>
          </cell>
          <cell r="AA64">
            <v>0</v>
          </cell>
          <cell r="AB64">
            <v>0.5</v>
          </cell>
          <cell r="AC64">
            <v>0</v>
          </cell>
          <cell r="AD64">
            <v>0</v>
          </cell>
          <cell r="AE64">
            <v>0</v>
          </cell>
          <cell r="AF64">
            <v>12</v>
          </cell>
          <cell r="AG64"/>
          <cell r="AH64">
            <v>30</v>
          </cell>
          <cell r="AI64">
            <v>25</v>
          </cell>
          <cell r="AJ64">
            <v>36.5</v>
          </cell>
          <cell r="AK64"/>
          <cell r="AL64">
            <v>49.5</v>
          </cell>
          <cell r="AM64">
            <v>3</v>
          </cell>
          <cell r="AN64">
            <v>4.5</v>
          </cell>
          <cell r="AO64">
            <v>0</v>
          </cell>
          <cell r="AP64">
            <v>0</v>
          </cell>
          <cell r="AQ64">
            <v>4718558</v>
          </cell>
          <cell r="AR64">
            <v>4353250</v>
          </cell>
          <cell r="AS64">
            <v>608846</v>
          </cell>
          <cell r="AT64">
            <v>700173</v>
          </cell>
          <cell r="AU64">
            <v>0</v>
          </cell>
          <cell r="AV64">
            <v>0</v>
          </cell>
          <cell r="AW64">
            <v>0</v>
          </cell>
          <cell r="AX64">
            <v>152212</v>
          </cell>
          <cell r="AY64">
            <v>0</v>
          </cell>
          <cell r="AZ64">
            <v>1095923</v>
          </cell>
          <cell r="BA64">
            <v>300000</v>
          </cell>
          <cell r="BB64">
            <v>0</v>
          </cell>
          <cell r="BC64">
            <v>300000</v>
          </cell>
          <cell r="BD64">
            <v>150000</v>
          </cell>
          <cell r="BE64">
            <v>0</v>
          </cell>
          <cell r="BF64">
            <v>2637800</v>
          </cell>
          <cell r="BG64">
            <v>0</v>
          </cell>
          <cell r="BH64">
            <v>900000</v>
          </cell>
          <cell r="BI64">
            <v>625000</v>
          </cell>
          <cell r="BJ64"/>
          <cell r="BK64"/>
          <cell r="BL64"/>
          <cell r="BM64">
            <v>2083395</v>
          </cell>
          <cell r="BN64"/>
          <cell r="BO64">
            <v>3955597</v>
          </cell>
          <cell r="BP64">
            <v>251149</v>
          </cell>
          <cell r="BQ64">
            <v>462343</v>
          </cell>
          <cell r="BR64">
            <v>0</v>
          </cell>
          <cell r="BS64">
            <v>0</v>
          </cell>
          <cell r="BT64">
            <v>23294246</v>
          </cell>
          <cell r="BU64">
            <v>846825</v>
          </cell>
          <cell r="BV64">
            <v>40000</v>
          </cell>
          <cell r="BW64">
            <v>11000000</v>
          </cell>
          <cell r="BX64">
            <v>2</v>
          </cell>
          <cell r="BY64">
            <v>8800000</v>
          </cell>
          <cell r="BZ64">
            <v>16869937</v>
          </cell>
          <cell r="CA64">
            <v>0</v>
          </cell>
          <cell r="CB64">
            <v>0</v>
          </cell>
          <cell r="CC64"/>
          <cell r="CD64">
            <v>886825</v>
          </cell>
          <cell r="CE64">
            <v>22407421</v>
          </cell>
        </row>
        <row r="65">
          <cell r="B65" t="str">
            <v>221030</v>
          </cell>
          <cell r="C65" t="str">
            <v>Nguyễn Minh Nhí</v>
          </cell>
          <cell r="D65">
            <v>8776003392</v>
          </cell>
          <cell r="E65">
            <v>9961892502</v>
          </cell>
          <cell r="F65">
            <v>44859</v>
          </cell>
          <cell r="G65" t="str">
            <v>Factory</v>
          </cell>
          <cell r="H65"/>
          <cell r="I65"/>
          <cell r="J65"/>
          <cell r="K65"/>
          <cell r="L65">
            <v>6240800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1840000</v>
          </cell>
          <cell r="R65">
            <v>8080800</v>
          </cell>
          <cell r="S65">
            <v>240030.76923076922</v>
          </cell>
          <cell r="T65">
            <v>30003.846153846152</v>
          </cell>
          <cell r="U65">
            <v>12.5</v>
          </cell>
          <cell r="V65">
            <v>6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1.5</v>
          </cell>
          <cell r="AC65">
            <v>0</v>
          </cell>
          <cell r="AD65">
            <v>1</v>
          </cell>
          <cell r="AE65">
            <v>0</v>
          </cell>
          <cell r="AF65">
            <v>6</v>
          </cell>
          <cell r="AG65"/>
          <cell r="AH65">
            <v>20</v>
          </cell>
          <cell r="AI65">
            <v>16</v>
          </cell>
          <cell r="AJ65">
            <v>30.5</v>
          </cell>
          <cell r="AK65"/>
          <cell r="AL65">
            <v>27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3000385</v>
          </cell>
          <cell r="AR65">
            <v>1872240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360046</v>
          </cell>
          <cell r="AY65">
            <v>0</v>
          </cell>
          <cell r="AZ65">
            <v>432055</v>
          </cell>
          <cell r="BA65"/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1840000</v>
          </cell>
          <cell r="BG65">
            <v>0</v>
          </cell>
          <cell r="BH65">
            <v>600000</v>
          </cell>
          <cell r="BI65">
            <v>400000</v>
          </cell>
          <cell r="BJ65"/>
          <cell r="BK65"/>
          <cell r="BL65">
            <v>400000</v>
          </cell>
          <cell r="BM65">
            <v>1372676</v>
          </cell>
          <cell r="BN65"/>
          <cell r="BO65">
            <v>1701218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11978620</v>
          </cell>
          <cell r="BU65">
            <v>655284</v>
          </cell>
          <cell r="BV65">
            <v>40000</v>
          </cell>
          <cell r="BW65">
            <v>11000000</v>
          </cell>
          <cell r="BX65"/>
          <cell r="BY65">
            <v>0</v>
          </cell>
          <cell r="BZ65">
            <v>9197892</v>
          </cell>
          <cell r="CA65">
            <v>0</v>
          </cell>
          <cell r="CB65">
            <v>0</v>
          </cell>
          <cell r="CC65"/>
          <cell r="CD65">
            <v>695284</v>
          </cell>
          <cell r="CE65">
            <v>11283336</v>
          </cell>
        </row>
        <row r="66">
          <cell r="B66" t="str">
            <v>200217</v>
          </cell>
          <cell r="C66" t="str">
            <v>Đoàn Thị Kiều Oanh</v>
          </cell>
          <cell r="D66">
            <v>8038208178</v>
          </cell>
          <cell r="E66" t="str">
            <v>1017564662</v>
          </cell>
          <cell r="F66">
            <v>43871</v>
          </cell>
          <cell r="G66" t="str">
            <v>Factory</v>
          </cell>
          <cell r="H66"/>
          <cell r="I66"/>
          <cell r="J66"/>
          <cell r="K66"/>
          <cell r="L66">
            <v>6480800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1750000</v>
          </cell>
          <cell r="R66">
            <v>8230800</v>
          </cell>
          <cell r="S66">
            <v>249261.53846153847</v>
          </cell>
          <cell r="T66">
            <v>31157.692307692309</v>
          </cell>
          <cell r="U66">
            <v>16</v>
          </cell>
          <cell r="V66">
            <v>10</v>
          </cell>
          <cell r="W66">
            <v>1</v>
          </cell>
          <cell r="X66">
            <v>1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11</v>
          </cell>
          <cell r="AG66">
            <v>1.5</v>
          </cell>
          <cell r="AH66">
            <v>29</v>
          </cell>
          <cell r="AI66">
            <v>25</v>
          </cell>
          <cell r="AJ66">
            <v>40</v>
          </cell>
          <cell r="AK66"/>
          <cell r="AL66">
            <v>45</v>
          </cell>
          <cell r="AM66">
            <v>3</v>
          </cell>
          <cell r="AN66">
            <v>4.5</v>
          </cell>
          <cell r="AO66">
            <v>0</v>
          </cell>
          <cell r="AP66">
            <v>0</v>
          </cell>
          <cell r="AQ66">
            <v>3988185</v>
          </cell>
          <cell r="AR66">
            <v>3240400</v>
          </cell>
          <cell r="AS66">
            <v>498523</v>
          </cell>
          <cell r="AT66">
            <v>573302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822563</v>
          </cell>
          <cell r="BA66"/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1750000</v>
          </cell>
          <cell r="BG66">
            <v>70105</v>
          </cell>
          <cell r="BH66">
            <v>870000</v>
          </cell>
          <cell r="BI66">
            <v>625000</v>
          </cell>
          <cell r="BJ66"/>
          <cell r="BK66"/>
          <cell r="BL66"/>
          <cell r="BM66">
            <v>1869462</v>
          </cell>
          <cell r="BN66"/>
          <cell r="BO66">
            <v>2944402</v>
          </cell>
          <cell r="BP66">
            <v>205641</v>
          </cell>
          <cell r="BQ66">
            <v>378566</v>
          </cell>
          <cell r="BR66">
            <v>0</v>
          </cell>
          <cell r="BS66">
            <v>0</v>
          </cell>
          <cell r="BT66">
            <v>17836149</v>
          </cell>
          <cell r="BU66">
            <v>680484</v>
          </cell>
          <cell r="BV66">
            <v>40000</v>
          </cell>
          <cell r="BW66">
            <v>11000000</v>
          </cell>
          <cell r="BX66">
            <v>2</v>
          </cell>
          <cell r="BY66">
            <v>8800000</v>
          </cell>
          <cell r="BZ66">
            <v>12504079</v>
          </cell>
          <cell r="CA66">
            <v>0</v>
          </cell>
          <cell r="CB66">
            <v>0</v>
          </cell>
          <cell r="CC66"/>
          <cell r="CD66">
            <v>720484</v>
          </cell>
          <cell r="CE66">
            <v>17115665</v>
          </cell>
        </row>
        <row r="67">
          <cell r="B67" t="str">
            <v>220222</v>
          </cell>
          <cell r="C67" t="str">
            <v>Lê Chí Bảo</v>
          </cell>
          <cell r="D67">
            <v>8930666186</v>
          </cell>
          <cell r="E67" t="str">
            <v>1018196366</v>
          </cell>
          <cell r="F67">
            <v>44609</v>
          </cell>
          <cell r="G67" t="str">
            <v>Factory</v>
          </cell>
          <cell r="H67"/>
          <cell r="I67"/>
          <cell r="J67"/>
          <cell r="K67"/>
          <cell r="L67">
            <v>6180800</v>
          </cell>
          <cell r="M67">
            <v>0</v>
          </cell>
          <cell r="N67">
            <v>0</v>
          </cell>
          <cell r="O67">
            <v>0</v>
          </cell>
          <cell r="P67">
            <v>100000</v>
          </cell>
          <cell r="Q67">
            <v>1500000</v>
          </cell>
          <cell r="R67">
            <v>7780800</v>
          </cell>
          <cell r="S67">
            <v>237723.07692307694</v>
          </cell>
          <cell r="T67">
            <v>29715.384615384617</v>
          </cell>
          <cell r="U67">
            <v>16</v>
          </cell>
          <cell r="V67">
            <v>10</v>
          </cell>
          <cell r="W67">
            <v>1</v>
          </cell>
          <cell r="X67">
            <v>1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11</v>
          </cell>
          <cell r="AG67"/>
          <cell r="AH67">
            <v>29</v>
          </cell>
          <cell r="AI67">
            <v>23</v>
          </cell>
          <cell r="AJ67">
            <v>34.5</v>
          </cell>
          <cell r="AK67"/>
          <cell r="AL67">
            <v>45</v>
          </cell>
          <cell r="AM67">
            <v>3</v>
          </cell>
          <cell r="AN67">
            <v>4.5</v>
          </cell>
          <cell r="AO67">
            <v>0</v>
          </cell>
          <cell r="AP67">
            <v>0</v>
          </cell>
          <cell r="AQ67">
            <v>3803569</v>
          </cell>
          <cell r="AR67">
            <v>3090400</v>
          </cell>
          <cell r="AS67">
            <v>475446</v>
          </cell>
          <cell r="AT67">
            <v>546763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784486</v>
          </cell>
          <cell r="BA67"/>
          <cell r="BB67">
            <v>0</v>
          </cell>
          <cell r="BC67">
            <v>0</v>
          </cell>
          <cell r="BD67">
            <v>0</v>
          </cell>
          <cell r="BE67">
            <v>100000</v>
          </cell>
          <cell r="BF67">
            <v>1500000</v>
          </cell>
          <cell r="BG67">
            <v>0</v>
          </cell>
          <cell r="BH67">
            <v>870000</v>
          </cell>
          <cell r="BI67">
            <v>575000</v>
          </cell>
          <cell r="BJ67"/>
          <cell r="BK67"/>
          <cell r="BL67"/>
          <cell r="BM67">
            <v>1537771</v>
          </cell>
          <cell r="BN67"/>
          <cell r="BO67">
            <v>2808104</v>
          </cell>
          <cell r="BP67">
            <v>196122</v>
          </cell>
          <cell r="BQ67">
            <v>361042</v>
          </cell>
          <cell r="BR67">
            <v>0</v>
          </cell>
          <cell r="BS67">
            <v>0</v>
          </cell>
          <cell r="BT67">
            <v>16648703</v>
          </cell>
          <cell r="BU67">
            <v>648984</v>
          </cell>
          <cell r="BV67">
            <v>40000</v>
          </cell>
          <cell r="BW67">
            <v>11000000</v>
          </cell>
          <cell r="BX67">
            <v>1</v>
          </cell>
          <cell r="BY67">
            <v>4400000</v>
          </cell>
          <cell r="BZ67">
            <v>11625970</v>
          </cell>
          <cell r="CA67">
            <v>0</v>
          </cell>
          <cell r="CB67">
            <v>0</v>
          </cell>
          <cell r="CC67"/>
          <cell r="CD67">
            <v>688984</v>
          </cell>
          <cell r="CE67">
            <v>15959719</v>
          </cell>
        </row>
        <row r="68">
          <cell r="B68" t="str">
            <v>240649</v>
          </cell>
          <cell r="C68" t="str">
            <v>Đỗ Thị Lam</v>
          </cell>
          <cell r="D68">
            <v>8081058793</v>
          </cell>
          <cell r="E68" t="str">
            <v>0281000453945</v>
          </cell>
          <cell r="F68">
            <v>45471</v>
          </cell>
          <cell r="G68" t="str">
            <v>Factory</v>
          </cell>
          <cell r="H68"/>
          <cell r="I68"/>
          <cell r="J68"/>
          <cell r="K68"/>
          <cell r="L68">
            <v>6230800</v>
          </cell>
          <cell r="M68">
            <v>0</v>
          </cell>
          <cell r="N68">
            <v>0</v>
          </cell>
          <cell r="O68">
            <v>0</v>
          </cell>
          <cell r="P68">
            <v>100000</v>
          </cell>
          <cell r="Q68">
            <v>1100000</v>
          </cell>
          <cell r="R68">
            <v>7430800</v>
          </cell>
          <cell r="S68">
            <v>239646.15384615384</v>
          </cell>
          <cell r="T68">
            <v>29955.76923076923</v>
          </cell>
          <cell r="U68">
            <v>16</v>
          </cell>
          <cell r="V68">
            <v>10</v>
          </cell>
          <cell r="W68">
            <v>1</v>
          </cell>
          <cell r="X68">
            <v>1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11</v>
          </cell>
          <cell r="AG68">
            <v>1.5</v>
          </cell>
          <cell r="AH68">
            <v>29</v>
          </cell>
          <cell r="AI68">
            <v>25</v>
          </cell>
          <cell r="AJ68">
            <v>41</v>
          </cell>
          <cell r="AK68"/>
          <cell r="AL68">
            <v>45</v>
          </cell>
          <cell r="AM68">
            <v>4</v>
          </cell>
          <cell r="AN68">
            <v>4.5</v>
          </cell>
          <cell r="AO68">
            <v>0</v>
          </cell>
          <cell r="AP68">
            <v>0</v>
          </cell>
          <cell r="AQ68">
            <v>3834338</v>
          </cell>
          <cell r="AR68">
            <v>3115400</v>
          </cell>
          <cell r="AS68">
            <v>479292</v>
          </cell>
          <cell r="AT68">
            <v>551186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790832</v>
          </cell>
          <cell r="BA68"/>
          <cell r="BB68">
            <v>0</v>
          </cell>
          <cell r="BC68">
            <v>0</v>
          </cell>
          <cell r="BD68">
            <v>0</v>
          </cell>
          <cell r="BE68">
            <v>100000</v>
          </cell>
          <cell r="BF68">
            <v>1100000</v>
          </cell>
          <cell r="BG68">
            <v>67400</v>
          </cell>
          <cell r="BH68">
            <v>870000</v>
          </cell>
          <cell r="BI68">
            <v>625000</v>
          </cell>
          <cell r="BJ68"/>
          <cell r="BK68"/>
          <cell r="BL68"/>
          <cell r="BM68">
            <v>1842280</v>
          </cell>
          <cell r="BN68"/>
          <cell r="BO68">
            <v>2830820</v>
          </cell>
          <cell r="BP68">
            <v>263611</v>
          </cell>
          <cell r="BQ68">
            <v>363963</v>
          </cell>
          <cell r="BR68">
            <v>0</v>
          </cell>
          <cell r="BS68">
            <v>0</v>
          </cell>
          <cell r="BT68">
            <v>16834122</v>
          </cell>
          <cell r="BU68">
            <v>654234</v>
          </cell>
          <cell r="BV68">
            <v>40000</v>
          </cell>
          <cell r="BW68">
            <v>11000000</v>
          </cell>
          <cell r="BX68">
            <v>1</v>
          </cell>
          <cell r="BY68">
            <v>4400000</v>
          </cell>
          <cell r="BZ68">
            <v>11599144</v>
          </cell>
          <cell r="CA68">
            <v>0</v>
          </cell>
          <cell r="CB68">
            <v>0</v>
          </cell>
          <cell r="CC68"/>
          <cell r="CD68">
            <v>694234</v>
          </cell>
          <cell r="CE68">
            <v>16139888</v>
          </cell>
        </row>
        <row r="69">
          <cell r="B69" t="str">
            <v>230233</v>
          </cell>
          <cell r="C69" t="str">
            <v>Huỳnh Thanh Quân</v>
          </cell>
          <cell r="D69">
            <v>8537038041</v>
          </cell>
          <cell r="E69">
            <v>1014231356</v>
          </cell>
          <cell r="F69">
            <v>44980</v>
          </cell>
          <cell r="G69" t="str">
            <v>Factory</v>
          </cell>
          <cell r="H69"/>
          <cell r="I69"/>
          <cell r="J69"/>
          <cell r="K69"/>
          <cell r="L69">
            <v>6230800</v>
          </cell>
          <cell r="M69">
            <v>0</v>
          </cell>
          <cell r="N69">
            <v>0</v>
          </cell>
          <cell r="O69">
            <v>0</v>
          </cell>
          <cell r="P69">
            <v>100000</v>
          </cell>
          <cell r="Q69">
            <v>1100000</v>
          </cell>
          <cell r="R69">
            <v>7430800</v>
          </cell>
          <cell r="S69">
            <v>239646.15384615384</v>
          </cell>
          <cell r="T69">
            <v>29955.76923076923</v>
          </cell>
          <cell r="U69">
            <v>15.5</v>
          </cell>
          <cell r="V69">
            <v>10</v>
          </cell>
          <cell r="W69">
            <v>1</v>
          </cell>
          <cell r="X69">
            <v>1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11</v>
          </cell>
          <cell r="AG69"/>
          <cell r="AH69">
            <v>28</v>
          </cell>
          <cell r="AI69">
            <v>24</v>
          </cell>
          <cell r="AJ69">
            <v>37.5</v>
          </cell>
          <cell r="AK69"/>
          <cell r="AL69">
            <v>45</v>
          </cell>
          <cell r="AM69">
            <v>3</v>
          </cell>
          <cell r="AN69">
            <v>4.5</v>
          </cell>
          <cell r="AO69">
            <v>0</v>
          </cell>
          <cell r="AP69">
            <v>0</v>
          </cell>
          <cell r="AQ69">
            <v>3714515</v>
          </cell>
          <cell r="AR69">
            <v>3115400</v>
          </cell>
          <cell r="AS69">
            <v>479292</v>
          </cell>
          <cell r="AT69">
            <v>551186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790832</v>
          </cell>
          <cell r="BA69"/>
          <cell r="BB69">
            <v>0</v>
          </cell>
          <cell r="BC69">
            <v>0</v>
          </cell>
          <cell r="BD69">
            <v>0</v>
          </cell>
          <cell r="BE69">
            <v>100000</v>
          </cell>
          <cell r="BF69">
            <v>1100000</v>
          </cell>
          <cell r="BG69">
            <v>0</v>
          </cell>
          <cell r="BH69">
            <v>840000</v>
          </cell>
          <cell r="BI69">
            <v>600000</v>
          </cell>
          <cell r="BJ69"/>
          <cell r="BK69"/>
          <cell r="BL69"/>
          <cell r="BM69">
            <v>1685012</v>
          </cell>
          <cell r="BN69"/>
          <cell r="BO69">
            <v>2830820</v>
          </cell>
          <cell r="BP69">
            <v>197708</v>
          </cell>
          <cell r="BQ69">
            <v>363963</v>
          </cell>
          <cell r="BR69">
            <v>0</v>
          </cell>
          <cell r="BS69">
            <v>0</v>
          </cell>
          <cell r="BT69">
            <v>16368728</v>
          </cell>
          <cell r="BU69">
            <v>654234</v>
          </cell>
          <cell r="BV69">
            <v>40000</v>
          </cell>
          <cell r="BW69">
            <v>11000000</v>
          </cell>
          <cell r="BX69">
            <v>1</v>
          </cell>
          <cell r="BY69">
            <v>4400000</v>
          </cell>
          <cell r="BZ69">
            <v>11277120</v>
          </cell>
          <cell r="CA69">
            <v>0</v>
          </cell>
          <cell r="CB69">
            <v>0</v>
          </cell>
          <cell r="CC69"/>
          <cell r="CD69">
            <v>694234</v>
          </cell>
          <cell r="CE69">
            <v>15674494</v>
          </cell>
        </row>
        <row r="70">
          <cell r="B70" t="str">
            <v>230334</v>
          </cell>
          <cell r="C70" t="str">
            <v>Nguyễn Văn Phước</v>
          </cell>
          <cell r="D70">
            <v>8804442228</v>
          </cell>
          <cell r="E70" t="str">
            <v>1036815199</v>
          </cell>
          <cell r="F70">
            <v>44998</v>
          </cell>
          <cell r="G70" t="str">
            <v>Factory</v>
          </cell>
          <cell r="H70"/>
          <cell r="I70"/>
          <cell r="J70"/>
          <cell r="K70"/>
          <cell r="L70">
            <v>6030800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900000</v>
          </cell>
          <cell r="R70">
            <v>6930800</v>
          </cell>
          <cell r="S70">
            <v>231953.84615384616</v>
          </cell>
          <cell r="T70">
            <v>28994.23076923077</v>
          </cell>
          <cell r="U70">
            <v>14.5</v>
          </cell>
          <cell r="V70">
            <v>10</v>
          </cell>
          <cell r="W70">
            <v>1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</v>
          </cell>
          <cell r="AC70">
            <v>0</v>
          </cell>
          <cell r="AD70">
            <v>0.5</v>
          </cell>
          <cell r="AE70">
            <v>0</v>
          </cell>
          <cell r="AF70">
            <v>10</v>
          </cell>
          <cell r="AG70"/>
          <cell r="AH70">
            <v>27</v>
          </cell>
          <cell r="AI70">
            <v>24</v>
          </cell>
          <cell r="AJ70">
            <v>39.5</v>
          </cell>
          <cell r="AK70"/>
          <cell r="AL70">
            <v>45</v>
          </cell>
          <cell r="AM70">
            <v>3</v>
          </cell>
          <cell r="AN70">
            <v>0</v>
          </cell>
          <cell r="AO70">
            <v>0</v>
          </cell>
          <cell r="AP70">
            <v>0</v>
          </cell>
          <cell r="AQ70">
            <v>3363331</v>
          </cell>
          <cell r="AR70">
            <v>3015400</v>
          </cell>
          <cell r="AS70">
            <v>463908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231954</v>
          </cell>
          <cell r="AY70">
            <v>0</v>
          </cell>
          <cell r="AZ70">
            <v>695862</v>
          </cell>
          <cell r="BA70"/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900000</v>
          </cell>
          <cell r="BG70">
            <v>0</v>
          </cell>
          <cell r="BH70">
            <v>810000</v>
          </cell>
          <cell r="BI70">
            <v>600000</v>
          </cell>
          <cell r="BJ70"/>
          <cell r="BK70"/>
          <cell r="BL70"/>
          <cell r="BM70">
            <v>1717908</v>
          </cell>
          <cell r="BN70"/>
          <cell r="BO70">
            <v>2739955</v>
          </cell>
          <cell r="BP70">
            <v>191362</v>
          </cell>
          <cell r="BQ70">
            <v>0</v>
          </cell>
          <cell r="BR70">
            <v>0</v>
          </cell>
          <cell r="BS70">
            <v>0</v>
          </cell>
          <cell r="BT70">
            <v>14729680</v>
          </cell>
          <cell r="BU70">
            <v>633234</v>
          </cell>
          <cell r="BV70">
            <v>40000</v>
          </cell>
          <cell r="BW70">
            <v>11000000</v>
          </cell>
          <cell r="BX70"/>
          <cell r="BY70">
            <v>0</v>
          </cell>
          <cell r="BZ70">
            <v>10279635</v>
          </cell>
          <cell r="CA70">
            <v>0</v>
          </cell>
          <cell r="CB70">
            <v>0</v>
          </cell>
          <cell r="CC70"/>
          <cell r="CD70">
            <v>673234</v>
          </cell>
          <cell r="CE70">
            <v>14056446</v>
          </cell>
        </row>
        <row r="71">
          <cell r="B71" t="str">
            <v>230938</v>
          </cell>
          <cell r="C71" t="str">
            <v>Dương Văn Tý</v>
          </cell>
          <cell r="D71">
            <v>8316806270</v>
          </cell>
          <cell r="E71">
            <v>1041961131</v>
          </cell>
          <cell r="F71">
            <v>45188</v>
          </cell>
          <cell r="G71" t="str">
            <v>Factory</v>
          </cell>
          <cell r="H71"/>
          <cell r="I71"/>
          <cell r="J71"/>
          <cell r="K71"/>
          <cell r="L71">
            <v>5980800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1150000</v>
          </cell>
          <cell r="R71">
            <v>7130800</v>
          </cell>
          <cell r="S71">
            <v>230030.76923076922</v>
          </cell>
          <cell r="T71">
            <v>28753.846153846152</v>
          </cell>
          <cell r="U71">
            <v>16</v>
          </cell>
          <cell r="V71">
            <v>10</v>
          </cell>
          <cell r="W71">
            <v>0</v>
          </cell>
          <cell r="X71">
            <v>1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11</v>
          </cell>
          <cell r="AG71"/>
          <cell r="AH71">
            <v>28</v>
          </cell>
          <cell r="AI71">
            <v>24</v>
          </cell>
          <cell r="AJ71">
            <v>39</v>
          </cell>
          <cell r="AK71"/>
          <cell r="AL71">
            <v>45</v>
          </cell>
          <cell r="AM71">
            <v>0</v>
          </cell>
          <cell r="AN71">
            <v>4.5</v>
          </cell>
          <cell r="AO71">
            <v>0</v>
          </cell>
          <cell r="AP71">
            <v>0</v>
          </cell>
          <cell r="AQ71">
            <v>3680492</v>
          </cell>
          <cell r="AR71">
            <v>2990400</v>
          </cell>
          <cell r="AS71">
            <v>0</v>
          </cell>
          <cell r="AT71">
            <v>529071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759102</v>
          </cell>
          <cell r="BA71"/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1150000</v>
          </cell>
          <cell r="BG71">
            <v>0</v>
          </cell>
          <cell r="BH71">
            <v>840000</v>
          </cell>
          <cell r="BI71">
            <v>600000</v>
          </cell>
          <cell r="BJ71"/>
          <cell r="BK71"/>
          <cell r="BL71"/>
          <cell r="BM71">
            <v>1682100</v>
          </cell>
          <cell r="BN71"/>
          <cell r="BO71">
            <v>2717238</v>
          </cell>
          <cell r="BP71">
            <v>0</v>
          </cell>
          <cell r="BQ71">
            <v>349359</v>
          </cell>
          <cell r="BR71">
            <v>0</v>
          </cell>
          <cell r="BS71">
            <v>0</v>
          </cell>
          <cell r="BT71">
            <v>15297762</v>
          </cell>
          <cell r="BU71">
            <v>627984</v>
          </cell>
          <cell r="BV71">
            <v>40000</v>
          </cell>
          <cell r="BW71">
            <v>11000000</v>
          </cell>
          <cell r="BX71"/>
          <cell r="BY71">
            <v>0</v>
          </cell>
          <cell r="BZ71">
            <v>10664648</v>
          </cell>
          <cell r="CA71">
            <v>0</v>
          </cell>
          <cell r="CB71">
            <v>0</v>
          </cell>
          <cell r="CC71"/>
          <cell r="CD71">
            <v>667984</v>
          </cell>
          <cell r="CE71">
            <v>14629778</v>
          </cell>
        </row>
        <row r="72">
          <cell r="B72">
            <v>240344</v>
          </cell>
          <cell r="C72" t="str">
            <v>Huỳnh Thanh Phúc</v>
          </cell>
          <cell r="D72">
            <v>8762890313</v>
          </cell>
          <cell r="E72">
            <v>1046427069</v>
          </cell>
          <cell r="F72">
            <v>45370</v>
          </cell>
          <cell r="G72" t="str">
            <v>Factory</v>
          </cell>
          <cell r="H72"/>
          <cell r="I72"/>
          <cell r="J72"/>
          <cell r="K72"/>
          <cell r="L72">
            <v>5880800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650000</v>
          </cell>
          <cell r="R72">
            <v>6530800</v>
          </cell>
          <cell r="S72">
            <v>226184.61538461538</v>
          </cell>
          <cell r="T72">
            <v>28273.076923076922</v>
          </cell>
          <cell r="U72">
            <v>10.5</v>
          </cell>
          <cell r="V72">
            <v>9.5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1.5</v>
          </cell>
          <cell r="AC72">
            <v>0</v>
          </cell>
          <cell r="AD72">
            <v>0.5</v>
          </cell>
          <cell r="AE72">
            <v>2</v>
          </cell>
          <cell r="AF72">
            <v>9.5</v>
          </cell>
          <cell r="AG72"/>
          <cell r="AH72">
            <v>23</v>
          </cell>
          <cell r="AI72">
            <v>17</v>
          </cell>
          <cell r="AJ72">
            <v>20.5</v>
          </cell>
          <cell r="AK72"/>
          <cell r="AL72">
            <v>41</v>
          </cell>
          <cell r="AM72">
            <v>3</v>
          </cell>
          <cell r="AN72">
            <v>0</v>
          </cell>
          <cell r="AO72">
            <v>0</v>
          </cell>
          <cell r="AP72">
            <v>0</v>
          </cell>
          <cell r="AQ72">
            <v>2374938</v>
          </cell>
          <cell r="AR72">
            <v>2793380</v>
          </cell>
          <cell r="AS72">
            <v>452369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339277</v>
          </cell>
          <cell r="AY72">
            <v>0</v>
          </cell>
          <cell r="AZ72">
            <v>644626</v>
          </cell>
          <cell r="BA72"/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650000</v>
          </cell>
          <cell r="BG72">
            <v>0</v>
          </cell>
          <cell r="BH72">
            <v>690000</v>
          </cell>
          <cell r="BI72">
            <v>425000</v>
          </cell>
          <cell r="BJ72"/>
          <cell r="BK72"/>
          <cell r="BL72"/>
          <cell r="BM72">
            <v>869397</v>
          </cell>
          <cell r="BN72"/>
          <cell r="BO72">
            <v>2434312</v>
          </cell>
          <cell r="BP72">
            <v>186602</v>
          </cell>
          <cell r="BQ72">
            <v>0</v>
          </cell>
          <cell r="BR72">
            <v>0</v>
          </cell>
          <cell r="BS72">
            <v>0</v>
          </cell>
          <cell r="BT72">
            <v>11859901</v>
          </cell>
          <cell r="BU72">
            <v>617484</v>
          </cell>
          <cell r="BV72">
            <v>40000</v>
          </cell>
          <cell r="BW72">
            <v>11000000</v>
          </cell>
          <cell r="BX72"/>
          <cell r="BY72">
            <v>0</v>
          </cell>
          <cell r="BZ72">
            <v>8207393</v>
          </cell>
          <cell r="CA72">
            <v>0</v>
          </cell>
          <cell r="CB72">
            <v>0</v>
          </cell>
          <cell r="CC72"/>
          <cell r="CD72">
            <v>657484</v>
          </cell>
          <cell r="CE72">
            <v>11202417</v>
          </cell>
        </row>
        <row r="73">
          <cell r="B73">
            <v>240345</v>
          </cell>
          <cell r="C73" t="str">
            <v>Huỳnh Trọng Nhân</v>
          </cell>
          <cell r="D73">
            <v>8930666147</v>
          </cell>
          <cell r="E73">
            <v>1046261207</v>
          </cell>
          <cell r="F73">
            <v>45371</v>
          </cell>
          <cell r="G73" t="str">
            <v>Factory</v>
          </cell>
          <cell r="H73"/>
          <cell r="I73"/>
          <cell r="J73"/>
          <cell r="K73"/>
          <cell r="L73">
            <v>5880800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650000</v>
          </cell>
          <cell r="R73">
            <v>6530800</v>
          </cell>
          <cell r="S73">
            <v>226184.61538461538</v>
          </cell>
          <cell r="T73">
            <v>28273.076923076922</v>
          </cell>
          <cell r="U73">
            <v>14.4375</v>
          </cell>
          <cell r="V73">
            <v>9</v>
          </cell>
          <cell r="W73">
            <v>0</v>
          </cell>
          <cell r="X73">
            <v>1</v>
          </cell>
          <cell r="Y73">
            <v>0</v>
          </cell>
          <cell r="Z73">
            <v>0</v>
          </cell>
          <cell r="AA73">
            <v>0</v>
          </cell>
          <cell r="AB73">
            <v>1.5</v>
          </cell>
          <cell r="AC73">
            <v>0</v>
          </cell>
          <cell r="AD73">
            <v>1</v>
          </cell>
          <cell r="AE73">
            <v>0</v>
          </cell>
          <cell r="AF73">
            <v>10</v>
          </cell>
          <cell r="AG73"/>
          <cell r="AH73">
            <v>26</v>
          </cell>
          <cell r="AI73">
            <v>22</v>
          </cell>
          <cell r="AJ73">
            <v>37.5</v>
          </cell>
          <cell r="AK73"/>
          <cell r="AL73">
            <v>39</v>
          </cell>
          <cell r="AM73">
            <v>0</v>
          </cell>
          <cell r="AN73">
            <v>4.5</v>
          </cell>
          <cell r="AO73">
            <v>0</v>
          </cell>
          <cell r="AP73">
            <v>0</v>
          </cell>
          <cell r="AQ73">
            <v>3265540</v>
          </cell>
          <cell r="AR73">
            <v>2646360</v>
          </cell>
          <cell r="AS73">
            <v>0</v>
          </cell>
          <cell r="AT73">
            <v>520225</v>
          </cell>
          <cell r="AU73">
            <v>0</v>
          </cell>
          <cell r="AV73">
            <v>0</v>
          </cell>
          <cell r="AW73">
            <v>0</v>
          </cell>
          <cell r="AX73">
            <v>339277</v>
          </cell>
          <cell r="AY73">
            <v>0</v>
          </cell>
          <cell r="AZ73">
            <v>678554</v>
          </cell>
          <cell r="BA73"/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650000</v>
          </cell>
          <cell r="BG73">
            <v>0</v>
          </cell>
          <cell r="BH73">
            <v>780000</v>
          </cell>
          <cell r="BI73">
            <v>550000</v>
          </cell>
          <cell r="BJ73"/>
          <cell r="BK73"/>
          <cell r="BL73"/>
          <cell r="BM73">
            <v>1590361</v>
          </cell>
          <cell r="BN73"/>
          <cell r="BO73">
            <v>2315565</v>
          </cell>
          <cell r="BP73">
            <v>0</v>
          </cell>
          <cell r="BQ73">
            <v>343518</v>
          </cell>
          <cell r="BR73">
            <v>0</v>
          </cell>
          <cell r="BS73">
            <v>0</v>
          </cell>
          <cell r="BT73">
            <v>13679400</v>
          </cell>
          <cell r="BU73">
            <v>617484</v>
          </cell>
          <cell r="BV73">
            <v>40000</v>
          </cell>
          <cell r="BW73">
            <v>11000000</v>
          </cell>
          <cell r="BX73"/>
          <cell r="BY73">
            <v>0</v>
          </cell>
          <cell r="BZ73">
            <v>9485337</v>
          </cell>
          <cell r="CA73">
            <v>0</v>
          </cell>
          <cell r="CB73">
            <v>0</v>
          </cell>
          <cell r="CC73"/>
          <cell r="CD73">
            <v>657484</v>
          </cell>
          <cell r="CE73">
            <v>13021916</v>
          </cell>
        </row>
        <row r="74">
          <cell r="B74" t="str">
            <v>240854</v>
          </cell>
          <cell r="C74" t="str">
            <v>Trần Thị Cẩm Hồng</v>
          </cell>
          <cell r="D74">
            <v>8127364355</v>
          </cell>
          <cell r="E74" t="str">
            <v>0841000052375</v>
          </cell>
          <cell r="F74">
            <v>45523</v>
          </cell>
          <cell r="G74" t="str">
            <v>Factory</v>
          </cell>
          <cell r="H74"/>
          <cell r="I74"/>
          <cell r="J74"/>
          <cell r="K74"/>
          <cell r="L74">
            <v>6680800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1800000</v>
          </cell>
          <cell r="R74">
            <v>8480800</v>
          </cell>
          <cell r="S74">
            <v>256953.84615384616</v>
          </cell>
          <cell r="T74">
            <v>32119.23076923077</v>
          </cell>
          <cell r="U74">
            <v>16</v>
          </cell>
          <cell r="V74">
            <v>10</v>
          </cell>
          <cell r="W74">
            <v>1</v>
          </cell>
          <cell r="X74">
            <v>1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11</v>
          </cell>
          <cell r="AG74">
            <v>1.5</v>
          </cell>
          <cell r="AH74">
            <v>29</v>
          </cell>
          <cell r="AI74">
            <v>25</v>
          </cell>
          <cell r="AJ74">
            <v>40</v>
          </cell>
          <cell r="AK74"/>
          <cell r="AL74">
            <v>45</v>
          </cell>
          <cell r="AM74">
            <v>3</v>
          </cell>
          <cell r="AN74">
            <v>4.5</v>
          </cell>
          <cell r="AO74">
            <v>0</v>
          </cell>
          <cell r="AP74">
            <v>0</v>
          </cell>
          <cell r="AQ74">
            <v>4111262</v>
          </cell>
          <cell r="AR74">
            <v>3340400</v>
          </cell>
          <cell r="AS74">
            <v>513908</v>
          </cell>
          <cell r="AT74">
            <v>590994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847948</v>
          </cell>
          <cell r="BA74"/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1800000</v>
          </cell>
          <cell r="BG74">
            <v>72268</v>
          </cell>
          <cell r="BH74">
            <v>870000</v>
          </cell>
          <cell r="BI74">
            <v>625000</v>
          </cell>
          <cell r="BJ74"/>
          <cell r="BK74"/>
          <cell r="BL74"/>
          <cell r="BM74">
            <v>1927154</v>
          </cell>
          <cell r="BN74"/>
          <cell r="BO74">
            <v>3035267</v>
          </cell>
          <cell r="BP74">
            <v>211987</v>
          </cell>
          <cell r="BQ74">
            <v>390249</v>
          </cell>
          <cell r="BR74">
            <v>0</v>
          </cell>
          <cell r="BS74">
            <v>0</v>
          </cell>
          <cell r="BT74">
            <v>18336437</v>
          </cell>
          <cell r="BU74">
            <v>701484</v>
          </cell>
          <cell r="BV74">
            <v>40000</v>
          </cell>
          <cell r="BW74">
            <v>11000000</v>
          </cell>
          <cell r="BX74">
            <v>1</v>
          </cell>
          <cell r="BY74">
            <v>4400000</v>
          </cell>
          <cell r="BZ74">
            <v>12885953</v>
          </cell>
          <cell r="CA74">
            <v>0</v>
          </cell>
          <cell r="CB74">
            <v>0</v>
          </cell>
          <cell r="CC74"/>
          <cell r="CD74">
            <v>741484</v>
          </cell>
          <cell r="CE74">
            <v>17594953</v>
          </cell>
        </row>
        <row r="75">
          <cell r="B75" t="str">
            <v>241155</v>
          </cell>
          <cell r="C75" t="str">
            <v>Ngô Thị Đào</v>
          </cell>
          <cell r="D75">
            <v>8317040768</v>
          </cell>
          <cell r="E75" t="str">
            <v>1036030891</v>
          </cell>
          <cell r="F75">
            <v>45602</v>
          </cell>
          <cell r="G75" t="str">
            <v>Factory</v>
          </cell>
          <cell r="H75"/>
          <cell r="I75"/>
          <cell r="J75"/>
          <cell r="K75"/>
          <cell r="L75">
            <v>5580800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550000</v>
          </cell>
          <cell r="R75">
            <v>6130800</v>
          </cell>
          <cell r="S75">
            <v>214646.15384615384</v>
          </cell>
          <cell r="T75">
            <v>26830.76923076923</v>
          </cell>
          <cell r="U75">
            <v>16</v>
          </cell>
          <cell r="V75">
            <v>10</v>
          </cell>
          <cell r="W75">
            <v>0</v>
          </cell>
          <cell r="X75">
            <v>1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11</v>
          </cell>
          <cell r="AG75">
            <v>1.5</v>
          </cell>
          <cell r="AH75">
            <v>28</v>
          </cell>
          <cell r="AI75">
            <v>25</v>
          </cell>
          <cell r="AJ75">
            <v>46</v>
          </cell>
          <cell r="AK75"/>
          <cell r="AL75">
            <v>45</v>
          </cell>
          <cell r="AM75">
            <v>0</v>
          </cell>
          <cell r="AN75">
            <v>4.5</v>
          </cell>
          <cell r="AO75">
            <v>0</v>
          </cell>
          <cell r="AP75">
            <v>0</v>
          </cell>
          <cell r="AQ75">
            <v>3434338</v>
          </cell>
          <cell r="AR75">
            <v>2790400</v>
          </cell>
          <cell r="AS75">
            <v>0</v>
          </cell>
          <cell r="AT75">
            <v>493686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708332</v>
          </cell>
          <cell r="BA75"/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550000</v>
          </cell>
          <cell r="BG75">
            <v>60369</v>
          </cell>
          <cell r="BH75">
            <v>840000</v>
          </cell>
          <cell r="BI75">
            <v>625000</v>
          </cell>
          <cell r="BJ75"/>
          <cell r="BK75"/>
          <cell r="BL75"/>
          <cell r="BM75">
            <v>1851323</v>
          </cell>
          <cell r="BN75"/>
          <cell r="BO75">
            <v>2535508</v>
          </cell>
          <cell r="BP75">
            <v>0</v>
          </cell>
          <cell r="BQ75">
            <v>325994</v>
          </cell>
          <cell r="BR75">
            <v>0</v>
          </cell>
          <cell r="BS75">
            <v>0</v>
          </cell>
          <cell r="BT75">
            <v>14214950</v>
          </cell>
          <cell r="BU75">
            <v>585984</v>
          </cell>
          <cell r="BV75">
            <v>40000</v>
          </cell>
          <cell r="BW75">
            <v>11000000</v>
          </cell>
          <cell r="BX75">
            <v>1</v>
          </cell>
          <cell r="BY75">
            <v>4400000</v>
          </cell>
          <cell r="BZ75">
            <v>9676485</v>
          </cell>
          <cell r="CA75">
            <v>0</v>
          </cell>
          <cell r="CB75">
            <v>0</v>
          </cell>
          <cell r="CC75"/>
          <cell r="CD75">
            <v>625984</v>
          </cell>
          <cell r="CE75">
            <v>13588966</v>
          </cell>
        </row>
        <row r="76">
          <cell r="B76" t="str">
            <v>250258</v>
          </cell>
          <cell r="C76" t="str">
            <v>Đặng Thị Cẩm Tiên</v>
          </cell>
          <cell r="D76">
            <v>8542972680</v>
          </cell>
          <cell r="E76" t="str">
            <v>0281000559829</v>
          </cell>
          <cell r="F76">
            <v>45705</v>
          </cell>
          <cell r="G76" t="str">
            <v>Factory</v>
          </cell>
          <cell r="H76"/>
          <cell r="I76"/>
          <cell r="J76"/>
          <cell r="K76"/>
          <cell r="L76">
            <v>5700000</v>
          </cell>
          <cell r="M76">
            <v>0</v>
          </cell>
          <cell r="N76">
            <v>0</v>
          </cell>
          <cell r="O76">
            <v>0</v>
          </cell>
          <cell r="P76">
            <v>100000</v>
          </cell>
          <cell r="Q76">
            <v>1250000</v>
          </cell>
          <cell r="R76">
            <v>7050000</v>
          </cell>
          <cell r="S76">
            <v>219230.76923076922</v>
          </cell>
          <cell r="T76">
            <v>27403.846153846152</v>
          </cell>
          <cell r="U76">
            <v>15.375</v>
          </cell>
          <cell r="V76">
            <v>10</v>
          </cell>
          <cell r="W76">
            <v>1</v>
          </cell>
          <cell r="X76">
            <v>1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1</v>
          </cell>
          <cell r="AF76">
            <v>11</v>
          </cell>
          <cell r="AG76">
            <v>1.5</v>
          </cell>
          <cell r="AH76">
            <v>28</v>
          </cell>
          <cell r="AI76">
            <v>25</v>
          </cell>
          <cell r="AJ76">
            <v>40</v>
          </cell>
          <cell r="AK76"/>
          <cell r="AL76">
            <v>45</v>
          </cell>
          <cell r="AM76">
            <v>3</v>
          </cell>
          <cell r="AN76">
            <v>4.5</v>
          </cell>
          <cell r="AO76">
            <v>0</v>
          </cell>
          <cell r="AP76">
            <v>0</v>
          </cell>
          <cell r="AQ76">
            <v>3370673</v>
          </cell>
          <cell r="AR76">
            <v>2850000</v>
          </cell>
          <cell r="AS76">
            <v>438462</v>
          </cell>
          <cell r="AT76">
            <v>504231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723462</v>
          </cell>
          <cell r="BA76"/>
          <cell r="BB76">
            <v>0</v>
          </cell>
          <cell r="BC76">
            <v>0</v>
          </cell>
          <cell r="BD76">
            <v>0</v>
          </cell>
          <cell r="BE76">
            <v>100000</v>
          </cell>
          <cell r="BF76">
            <v>1250000</v>
          </cell>
          <cell r="BG76">
            <v>61659</v>
          </cell>
          <cell r="BH76">
            <v>840000</v>
          </cell>
          <cell r="BI76">
            <v>625000</v>
          </cell>
          <cell r="BJ76"/>
          <cell r="BK76"/>
          <cell r="BL76"/>
          <cell r="BM76">
            <v>1644231</v>
          </cell>
          <cell r="BN76"/>
          <cell r="BO76">
            <v>2589663</v>
          </cell>
          <cell r="BP76">
            <v>180865</v>
          </cell>
          <cell r="BQ76">
            <v>332957</v>
          </cell>
          <cell r="BR76">
            <v>0</v>
          </cell>
          <cell r="BS76">
            <v>0</v>
          </cell>
          <cell r="BT76">
            <v>15511203</v>
          </cell>
          <cell r="BU76">
            <v>598500</v>
          </cell>
          <cell r="BV76">
            <v>40000</v>
          </cell>
          <cell r="BW76">
            <v>11000000</v>
          </cell>
          <cell r="BX76">
            <v>1</v>
          </cell>
          <cell r="BY76">
            <v>4400000</v>
          </cell>
          <cell r="BZ76">
            <v>10671419</v>
          </cell>
          <cell r="CA76">
            <v>0</v>
          </cell>
          <cell r="CB76">
            <v>0</v>
          </cell>
          <cell r="CC76"/>
          <cell r="CD76">
            <v>638500</v>
          </cell>
          <cell r="CE76">
            <v>14872703</v>
          </cell>
        </row>
        <row r="77">
          <cell r="B77" t="str">
            <v>220223</v>
          </cell>
          <cell r="C77" t="str">
            <v>Nguyễn Thúy Nguyên</v>
          </cell>
          <cell r="D77">
            <v>8727690784</v>
          </cell>
          <cell r="E77">
            <v>1026760980</v>
          </cell>
          <cell r="F77">
            <v>44609</v>
          </cell>
          <cell r="G77" t="str">
            <v>Factory</v>
          </cell>
          <cell r="H77"/>
          <cell r="I77"/>
          <cell r="J77"/>
          <cell r="K77"/>
          <cell r="L77">
            <v>6180800</v>
          </cell>
          <cell r="M77">
            <v>0</v>
          </cell>
          <cell r="N77">
            <v>0</v>
          </cell>
          <cell r="O77">
            <v>0</v>
          </cell>
          <cell r="P77">
            <v>100000</v>
          </cell>
          <cell r="Q77">
            <v>1300000</v>
          </cell>
          <cell r="R77">
            <v>7580800</v>
          </cell>
          <cell r="S77">
            <v>237723.07692307694</v>
          </cell>
          <cell r="T77">
            <v>29715.384615384617</v>
          </cell>
          <cell r="U77">
            <v>13.5</v>
          </cell>
          <cell r="V77">
            <v>10</v>
          </cell>
          <cell r="W77">
            <v>1</v>
          </cell>
          <cell r="X77">
            <v>1</v>
          </cell>
          <cell r="Y77">
            <v>0</v>
          </cell>
          <cell r="Z77">
            <v>0</v>
          </cell>
          <cell r="AA77">
            <v>0</v>
          </cell>
          <cell r="AB77">
            <v>2</v>
          </cell>
          <cell r="AC77">
            <v>0</v>
          </cell>
          <cell r="AD77">
            <v>0.5</v>
          </cell>
          <cell r="AE77">
            <v>0</v>
          </cell>
          <cell r="AF77">
            <v>11</v>
          </cell>
          <cell r="AG77">
            <v>1.5</v>
          </cell>
          <cell r="AH77">
            <v>27</v>
          </cell>
          <cell r="AI77">
            <v>23</v>
          </cell>
          <cell r="AJ77">
            <v>36</v>
          </cell>
          <cell r="AK77"/>
          <cell r="AL77">
            <v>45</v>
          </cell>
          <cell r="AM77">
            <v>4</v>
          </cell>
          <cell r="AN77">
            <v>4.5</v>
          </cell>
          <cell r="AO77">
            <v>0</v>
          </cell>
          <cell r="AP77">
            <v>0</v>
          </cell>
          <cell r="AQ77">
            <v>3209262</v>
          </cell>
          <cell r="AR77">
            <v>3090400</v>
          </cell>
          <cell r="AS77">
            <v>475446</v>
          </cell>
          <cell r="AT77">
            <v>546763</v>
          </cell>
          <cell r="AU77">
            <v>0</v>
          </cell>
          <cell r="AV77">
            <v>0</v>
          </cell>
          <cell r="AW77">
            <v>0</v>
          </cell>
          <cell r="AX77">
            <v>475446</v>
          </cell>
          <cell r="AY77">
            <v>0</v>
          </cell>
          <cell r="AZ77">
            <v>784486</v>
          </cell>
          <cell r="BA77"/>
          <cell r="BB77">
            <v>0</v>
          </cell>
          <cell r="BC77">
            <v>0</v>
          </cell>
          <cell r="BD77">
            <v>0</v>
          </cell>
          <cell r="BE77">
            <v>100000</v>
          </cell>
          <cell r="BF77">
            <v>1300000</v>
          </cell>
          <cell r="BG77">
            <v>66860</v>
          </cell>
          <cell r="BH77">
            <v>810000</v>
          </cell>
          <cell r="BI77">
            <v>575000</v>
          </cell>
          <cell r="BJ77"/>
          <cell r="BK77"/>
          <cell r="BL77"/>
          <cell r="BM77">
            <v>1604631</v>
          </cell>
          <cell r="BN77"/>
          <cell r="BO77">
            <v>2808104</v>
          </cell>
          <cell r="BP77">
            <v>261495</v>
          </cell>
          <cell r="BQ77">
            <v>361042</v>
          </cell>
          <cell r="BR77">
            <v>0</v>
          </cell>
          <cell r="BS77">
            <v>0</v>
          </cell>
          <cell r="BT77">
            <v>16468935</v>
          </cell>
          <cell r="BU77">
            <v>648984</v>
          </cell>
          <cell r="BV77">
            <v>40000</v>
          </cell>
          <cell r="BW77">
            <v>11000000</v>
          </cell>
          <cell r="BX77">
            <v>1</v>
          </cell>
          <cell r="BY77">
            <v>4400000</v>
          </cell>
          <cell r="BZ77">
            <v>11448258</v>
          </cell>
          <cell r="CA77">
            <v>0</v>
          </cell>
          <cell r="CB77">
            <v>0</v>
          </cell>
          <cell r="CC77"/>
          <cell r="CD77">
            <v>688984</v>
          </cell>
          <cell r="CE77">
            <v>15779951</v>
          </cell>
        </row>
        <row r="78">
          <cell r="B78" t="str">
            <v>250365</v>
          </cell>
          <cell r="C78" t="str">
            <v xml:space="preserve">Ngô Công Ti </v>
          </cell>
          <cell r="D78">
            <v>8834586876</v>
          </cell>
          <cell r="E78">
            <v>1055865751</v>
          </cell>
          <cell r="F78">
            <v>45726</v>
          </cell>
          <cell r="G78" t="str">
            <v>Factory</v>
          </cell>
          <cell r="H78"/>
          <cell r="I78"/>
          <cell r="J78"/>
          <cell r="K78"/>
          <cell r="L78">
            <v>5580800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550000</v>
          </cell>
          <cell r="R78">
            <v>6130800</v>
          </cell>
          <cell r="S78">
            <v>214646.15384615384</v>
          </cell>
          <cell r="T78">
            <v>26830.76923076923</v>
          </cell>
          <cell r="U78">
            <v>12</v>
          </cell>
          <cell r="V78">
            <v>13</v>
          </cell>
          <cell r="W78">
            <v>1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1</v>
          </cell>
          <cell r="AC78">
            <v>0</v>
          </cell>
          <cell r="AD78">
            <v>0</v>
          </cell>
          <cell r="AE78">
            <v>0</v>
          </cell>
          <cell r="AF78">
            <v>13</v>
          </cell>
          <cell r="AG78"/>
          <cell r="AH78">
            <v>28</v>
          </cell>
          <cell r="AI78">
            <v>24</v>
          </cell>
          <cell r="AJ78">
            <v>37</v>
          </cell>
          <cell r="AK78"/>
          <cell r="AL78">
            <v>54</v>
          </cell>
          <cell r="AM78">
            <v>4</v>
          </cell>
          <cell r="AN78">
            <v>0</v>
          </cell>
          <cell r="AO78">
            <v>0</v>
          </cell>
          <cell r="AP78">
            <v>0</v>
          </cell>
          <cell r="AQ78">
            <v>2575754</v>
          </cell>
          <cell r="AR78">
            <v>3627520</v>
          </cell>
          <cell r="AS78">
            <v>429292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214646</v>
          </cell>
          <cell r="AY78">
            <v>0</v>
          </cell>
          <cell r="AZ78">
            <v>837120</v>
          </cell>
          <cell r="BA78"/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550000</v>
          </cell>
          <cell r="BG78">
            <v>0</v>
          </cell>
          <cell r="BH78">
            <v>840000</v>
          </cell>
          <cell r="BI78">
            <v>600000</v>
          </cell>
          <cell r="BJ78"/>
          <cell r="BK78"/>
          <cell r="BL78"/>
          <cell r="BM78">
            <v>1489108</v>
          </cell>
          <cell r="BN78"/>
          <cell r="BO78">
            <v>3042609</v>
          </cell>
          <cell r="BP78">
            <v>236111</v>
          </cell>
          <cell r="BQ78">
            <v>0</v>
          </cell>
          <cell r="BR78">
            <v>0</v>
          </cell>
          <cell r="BS78">
            <v>0</v>
          </cell>
          <cell r="BT78">
            <v>14442160</v>
          </cell>
          <cell r="BU78">
            <v>585984</v>
          </cell>
          <cell r="BV78">
            <v>40000</v>
          </cell>
          <cell r="BW78">
            <v>11000000</v>
          </cell>
          <cell r="BX78"/>
          <cell r="BY78">
            <v>0</v>
          </cell>
          <cell r="BZ78">
            <v>9731489</v>
          </cell>
          <cell r="CA78">
            <v>0</v>
          </cell>
          <cell r="CB78">
            <v>0</v>
          </cell>
          <cell r="CC78"/>
          <cell r="CD78">
            <v>625984</v>
          </cell>
          <cell r="CE78">
            <v>13816176</v>
          </cell>
        </row>
        <row r="79">
          <cell r="B79">
            <v>250781</v>
          </cell>
          <cell r="C79" t="str">
            <v>Thị Hiền</v>
          </cell>
          <cell r="D79"/>
          <cell r="E79">
            <v>1025410883</v>
          </cell>
          <cell r="F79">
            <v>45856</v>
          </cell>
          <cell r="G79" t="str">
            <v>Factory</v>
          </cell>
          <cell r="H79"/>
          <cell r="I79"/>
          <cell r="J79"/>
          <cell r="K79"/>
          <cell r="L79">
            <v>5580800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550000</v>
          </cell>
          <cell r="R79">
            <v>6130800</v>
          </cell>
          <cell r="S79">
            <v>214646.15384615384</v>
          </cell>
          <cell r="T79">
            <v>26830.76923076923</v>
          </cell>
          <cell r="U79">
            <v>11</v>
          </cell>
          <cell r="V79">
            <v>13</v>
          </cell>
          <cell r="W79">
            <v>1</v>
          </cell>
          <cell r="X79">
            <v>1</v>
          </cell>
          <cell r="Y79">
            <v>0</v>
          </cell>
          <cell r="Z79">
            <v>0</v>
          </cell>
          <cell r="AA79">
            <v>0</v>
          </cell>
          <cell r="AB79">
            <v>2</v>
          </cell>
          <cell r="AC79">
            <v>0</v>
          </cell>
          <cell r="AD79">
            <v>0</v>
          </cell>
          <cell r="AE79">
            <v>0</v>
          </cell>
          <cell r="AF79">
            <v>14</v>
          </cell>
          <cell r="AG79">
            <v>1.5</v>
          </cell>
          <cell r="AH79">
            <v>27</v>
          </cell>
          <cell r="AI79">
            <v>22</v>
          </cell>
          <cell r="AJ79">
            <v>22.5</v>
          </cell>
          <cell r="AK79"/>
          <cell r="AL79">
            <v>58.5</v>
          </cell>
          <cell r="AM79">
            <v>3</v>
          </cell>
          <cell r="AN79">
            <v>4.5</v>
          </cell>
          <cell r="AO79">
            <v>0</v>
          </cell>
          <cell r="AP79">
            <v>0</v>
          </cell>
          <cell r="AQ79">
            <v>2361108</v>
          </cell>
          <cell r="AR79">
            <v>3627520</v>
          </cell>
          <cell r="AS79">
            <v>429292</v>
          </cell>
          <cell r="AT79">
            <v>493686</v>
          </cell>
          <cell r="AU79">
            <v>0</v>
          </cell>
          <cell r="AV79">
            <v>0</v>
          </cell>
          <cell r="AW79">
            <v>0</v>
          </cell>
          <cell r="AX79">
            <v>429292</v>
          </cell>
          <cell r="AY79">
            <v>0</v>
          </cell>
          <cell r="AZ79">
            <v>901514</v>
          </cell>
          <cell r="BA79"/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550000</v>
          </cell>
          <cell r="BG79">
            <v>60369</v>
          </cell>
          <cell r="BH79">
            <v>810000</v>
          </cell>
          <cell r="BI79">
            <v>550000</v>
          </cell>
          <cell r="BJ79"/>
          <cell r="BK79"/>
          <cell r="BL79"/>
          <cell r="BM79">
            <v>905538</v>
          </cell>
          <cell r="BN79"/>
          <cell r="BO79">
            <v>3296160</v>
          </cell>
          <cell r="BP79">
            <v>177083</v>
          </cell>
          <cell r="BQ79">
            <v>325994</v>
          </cell>
          <cell r="BR79">
            <v>0</v>
          </cell>
          <cell r="BS79">
            <v>0</v>
          </cell>
          <cell r="BT79">
            <v>14917556</v>
          </cell>
          <cell r="BU79">
            <v>585984</v>
          </cell>
          <cell r="BV79">
            <v>40000</v>
          </cell>
          <cell r="BW79">
            <v>11000000</v>
          </cell>
          <cell r="BX79"/>
          <cell r="BY79">
            <v>0</v>
          </cell>
          <cell r="BZ79">
            <v>9896498</v>
          </cell>
          <cell r="CA79">
            <v>0</v>
          </cell>
          <cell r="CB79">
            <v>0</v>
          </cell>
          <cell r="CC79"/>
          <cell r="CD79">
            <v>625984</v>
          </cell>
          <cell r="CE79">
            <v>14291572</v>
          </cell>
        </row>
        <row r="80">
          <cell r="B80">
            <v>250782</v>
          </cell>
          <cell r="C80" t="str">
            <v>Phạm Văn Minh</v>
          </cell>
          <cell r="D80"/>
          <cell r="E80">
            <v>1039014145</v>
          </cell>
          <cell r="F80">
            <v>45856</v>
          </cell>
          <cell r="G80" t="str">
            <v>Factory</v>
          </cell>
          <cell r="H80"/>
          <cell r="I80"/>
          <cell r="J80"/>
          <cell r="K80"/>
          <cell r="L80">
            <v>5580800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550000</v>
          </cell>
          <cell r="R80">
            <v>6130800</v>
          </cell>
          <cell r="S80">
            <v>214646.15384615384</v>
          </cell>
          <cell r="T80">
            <v>26830.76923076923</v>
          </cell>
          <cell r="U80">
            <v>5.5</v>
          </cell>
          <cell r="V80">
            <v>6.5</v>
          </cell>
          <cell r="W80">
            <v>1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1.5</v>
          </cell>
          <cell r="AC80">
            <v>0</v>
          </cell>
          <cell r="AD80">
            <v>1</v>
          </cell>
          <cell r="AE80">
            <v>0</v>
          </cell>
          <cell r="AF80">
            <v>7.5</v>
          </cell>
          <cell r="AG80"/>
          <cell r="AH80">
            <v>16</v>
          </cell>
          <cell r="AI80">
            <v>11</v>
          </cell>
          <cell r="AJ80">
            <v>10</v>
          </cell>
          <cell r="AK80"/>
          <cell r="AL80">
            <v>27</v>
          </cell>
          <cell r="AM80">
            <v>3</v>
          </cell>
          <cell r="AN80">
            <v>4.5</v>
          </cell>
          <cell r="AO80">
            <v>0</v>
          </cell>
          <cell r="AP80">
            <v>0</v>
          </cell>
          <cell r="AQ80">
            <v>1180554</v>
          </cell>
          <cell r="AR80">
            <v>1813760</v>
          </cell>
          <cell r="AS80">
            <v>429292</v>
          </cell>
          <cell r="AT80">
            <v>493686</v>
          </cell>
          <cell r="AU80">
            <v>0</v>
          </cell>
          <cell r="AV80">
            <v>0</v>
          </cell>
          <cell r="AW80">
            <v>0</v>
          </cell>
          <cell r="AX80">
            <v>321969</v>
          </cell>
          <cell r="AY80">
            <v>0</v>
          </cell>
          <cell r="AZ80">
            <v>482954</v>
          </cell>
          <cell r="BA80"/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285577</v>
          </cell>
          <cell r="BG80">
            <v>0</v>
          </cell>
          <cell r="BH80">
            <v>480000</v>
          </cell>
          <cell r="BI80">
            <v>275000</v>
          </cell>
          <cell r="BJ80"/>
          <cell r="BK80"/>
          <cell r="BL80"/>
          <cell r="BM80">
            <v>402462</v>
          </cell>
          <cell r="BN80"/>
          <cell r="BO80">
            <v>1521305</v>
          </cell>
          <cell r="BP80">
            <v>177083</v>
          </cell>
          <cell r="BQ80">
            <v>325994</v>
          </cell>
          <cell r="BR80">
            <v>0</v>
          </cell>
          <cell r="BS80">
            <v>0</v>
          </cell>
          <cell r="BT80">
            <v>8189636</v>
          </cell>
          <cell r="BU80">
            <v>585984</v>
          </cell>
          <cell r="BV80">
            <v>40000</v>
          </cell>
          <cell r="BW80">
            <v>11000000</v>
          </cell>
          <cell r="BX80"/>
          <cell r="BY80">
            <v>0</v>
          </cell>
          <cell r="BZ80">
            <v>5289516</v>
          </cell>
          <cell r="CA80">
            <v>0</v>
          </cell>
          <cell r="CB80">
            <v>0</v>
          </cell>
          <cell r="CC80"/>
          <cell r="CD80">
            <v>625984</v>
          </cell>
          <cell r="CE80">
            <v>7563652</v>
          </cell>
        </row>
        <row r="81">
          <cell r="B81"/>
          <cell r="C81" t="str">
            <v>FACTORY</v>
          </cell>
          <cell r="D81">
            <v>75</v>
          </cell>
          <cell r="E81"/>
          <cell r="F81"/>
          <cell r="G81"/>
          <cell r="H81">
            <v>8287500</v>
          </cell>
          <cell r="I81">
            <v>0</v>
          </cell>
          <cell r="J81">
            <v>2762500</v>
          </cell>
          <cell r="K81">
            <v>11050000</v>
          </cell>
          <cell r="L81">
            <v>320116100</v>
          </cell>
          <cell r="M81">
            <v>2976000</v>
          </cell>
          <cell r="N81">
            <v>2700000</v>
          </cell>
          <cell r="O81">
            <v>1200000</v>
          </cell>
          <cell r="P81">
            <v>1900000</v>
          </cell>
          <cell r="Q81">
            <v>73084300</v>
          </cell>
          <cell r="R81">
            <v>401976400</v>
          </cell>
          <cell r="S81">
            <v>12630907.692307692</v>
          </cell>
          <cell r="T81">
            <v>1578863.4615384615</v>
          </cell>
          <cell r="U81">
            <v>821.3125</v>
          </cell>
          <cell r="V81">
            <v>382.75</v>
          </cell>
          <cell r="W81">
            <v>37.375</v>
          </cell>
          <cell r="X81">
            <v>25</v>
          </cell>
          <cell r="Y81">
            <v>0</v>
          </cell>
          <cell r="Z81">
            <v>0</v>
          </cell>
          <cell r="AA81">
            <v>0</v>
          </cell>
          <cell r="AB81">
            <v>35.5</v>
          </cell>
          <cell r="AC81">
            <v>6</v>
          </cell>
          <cell r="AD81">
            <v>6.5</v>
          </cell>
          <cell r="AE81">
            <v>17</v>
          </cell>
          <cell r="AF81">
            <v>407.75</v>
          </cell>
          <cell r="AG81">
            <v>24</v>
          </cell>
          <cell r="AH81">
            <v>1310</v>
          </cell>
          <cell r="AI81">
            <v>983</v>
          </cell>
          <cell r="AJ81">
            <v>1791.25</v>
          </cell>
          <cell r="AK81">
            <v>0</v>
          </cell>
          <cell r="AL81">
            <v>1706.5</v>
          </cell>
          <cell r="AM81">
            <v>102</v>
          </cell>
          <cell r="AN81">
            <v>103.5</v>
          </cell>
          <cell r="AO81">
            <v>0</v>
          </cell>
          <cell r="AP81">
            <v>0</v>
          </cell>
          <cell r="AQ81">
            <v>215972816</v>
          </cell>
          <cell r="AR81">
            <v>124645138</v>
          </cell>
          <cell r="AS81">
            <v>19624073</v>
          </cell>
          <cell r="AT81">
            <v>14356140</v>
          </cell>
          <cell r="AU81">
            <v>0</v>
          </cell>
          <cell r="AV81">
            <v>0</v>
          </cell>
          <cell r="AW81">
            <v>0</v>
          </cell>
          <cell r="AX81">
            <v>9042284</v>
          </cell>
          <cell r="AY81">
            <v>1768996</v>
          </cell>
          <cell r="AZ81">
            <v>30636801</v>
          </cell>
          <cell r="BA81">
            <v>600000</v>
          </cell>
          <cell r="BB81">
            <v>2976000</v>
          </cell>
          <cell r="BC81">
            <v>2700000</v>
          </cell>
          <cell r="BD81">
            <v>1200000</v>
          </cell>
          <cell r="BE81">
            <v>1900000</v>
          </cell>
          <cell r="BF81">
            <v>75582377</v>
          </cell>
          <cell r="BG81">
            <v>1134082</v>
          </cell>
          <cell r="BH81">
            <v>39300000</v>
          </cell>
          <cell r="BI81">
            <v>24575000</v>
          </cell>
          <cell r="BJ81">
            <v>0</v>
          </cell>
          <cell r="BK81">
            <v>0</v>
          </cell>
          <cell r="BL81">
            <v>400000</v>
          </cell>
          <cell r="BM81">
            <v>87178913</v>
          </cell>
          <cell r="BN81">
            <v>0</v>
          </cell>
          <cell r="BO81">
            <v>112222209</v>
          </cell>
          <cell r="BP81">
            <v>7235494</v>
          </cell>
          <cell r="BQ81">
            <v>9479735</v>
          </cell>
          <cell r="BR81">
            <v>0</v>
          </cell>
          <cell r="BS81">
            <v>0</v>
          </cell>
          <cell r="BT81">
            <v>782530058</v>
          </cell>
          <cell r="BU81">
            <v>34050671</v>
          </cell>
          <cell r="BV81">
            <v>1920000</v>
          </cell>
          <cell r="BW81">
            <v>539000000</v>
          </cell>
          <cell r="BX81">
            <v>31</v>
          </cell>
          <cell r="BY81">
            <v>136400000</v>
          </cell>
          <cell r="BZ81">
            <v>574206364</v>
          </cell>
          <cell r="CA81">
            <v>6024746</v>
          </cell>
          <cell r="CB81">
            <v>301238</v>
          </cell>
          <cell r="CC81">
            <v>5000000</v>
          </cell>
          <cell r="CD81">
            <v>41271909</v>
          </cell>
          <cell r="CE81">
            <v>741258149</v>
          </cell>
        </row>
        <row r="82">
          <cell r="B82"/>
          <cell r="C82" t="str">
            <v>Grand Total</v>
          </cell>
          <cell r="D82"/>
          <cell r="E82"/>
          <cell r="F82"/>
          <cell r="G82"/>
          <cell r="H82">
            <v>24225000</v>
          </cell>
          <cell r="I82">
            <v>100000</v>
          </cell>
          <cell r="J82">
            <v>8075000</v>
          </cell>
          <cell r="K82">
            <v>32400000</v>
          </cell>
          <cell r="L82">
            <v>562016900</v>
          </cell>
          <cell r="M82">
            <v>2976000</v>
          </cell>
          <cell r="N82">
            <v>3600000</v>
          </cell>
          <cell r="O82">
            <v>2000000</v>
          </cell>
          <cell r="P82">
            <v>2700000</v>
          </cell>
          <cell r="Q82">
            <v>151964300</v>
          </cell>
          <cell r="R82">
            <v>725257200</v>
          </cell>
          <cell r="S82">
            <v>22547765.384615384</v>
          </cell>
          <cell r="T82">
            <v>2818470.538461538</v>
          </cell>
          <cell r="U82">
            <v>1483.625</v>
          </cell>
          <cell r="V82">
            <v>382.75</v>
          </cell>
          <cell r="W82">
            <v>37.375</v>
          </cell>
          <cell r="X82">
            <v>25</v>
          </cell>
          <cell r="Y82">
            <v>0</v>
          </cell>
          <cell r="Z82">
            <v>0</v>
          </cell>
          <cell r="AA82">
            <v>0</v>
          </cell>
          <cell r="AB82">
            <v>50</v>
          </cell>
          <cell r="AC82">
            <v>6</v>
          </cell>
          <cell r="AD82">
            <v>6.5</v>
          </cell>
          <cell r="AE82">
            <v>18</v>
          </cell>
          <cell r="AF82">
            <v>407.75</v>
          </cell>
          <cell r="AG82">
            <v>48</v>
          </cell>
          <cell r="AH82">
            <v>1974</v>
          </cell>
          <cell r="AI82">
            <v>1032</v>
          </cell>
          <cell r="AJ82">
            <v>2346.8000000000002</v>
          </cell>
          <cell r="AK82">
            <v>0</v>
          </cell>
          <cell r="AL82">
            <v>1715</v>
          </cell>
          <cell r="AM82">
            <v>102</v>
          </cell>
          <cell r="AN82">
            <v>103.5</v>
          </cell>
          <cell r="AO82">
            <v>0</v>
          </cell>
          <cell r="AP82">
            <v>0</v>
          </cell>
          <cell r="AQ82">
            <v>471535177</v>
          </cell>
          <cell r="AR82">
            <v>124645138</v>
          </cell>
          <cell r="AS82">
            <v>19624073</v>
          </cell>
          <cell r="AT82">
            <v>14356140</v>
          </cell>
          <cell r="AU82">
            <v>0</v>
          </cell>
          <cell r="AV82">
            <v>0</v>
          </cell>
          <cell r="AW82">
            <v>0</v>
          </cell>
          <cell r="AX82">
            <v>15434113</v>
          </cell>
          <cell r="AY82">
            <v>1768996</v>
          </cell>
          <cell r="AZ82">
            <v>30636801</v>
          </cell>
          <cell r="BA82">
            <v>1700000</v>
          </cell>
          <cell r="BB82">
            <v>2976000</v>
          </cell>
          <cell r="BC82">
            <v>3600000</v>
          </cell>
          <cell r="BD82">
            <v>2000000</v>
          </cell>
          <cell r="BE82">
            <v>2800000</v>
          </cell>
          <cell r="BF82">
            <v>158401800</v>
          </cell>
          <cell r="BG82">
            <v>3040263</v>
          </cell>
          <cell r="BH82">
            <v>59220000</v>
          </cell>
          <cell r="BI82">
            <v>25800000</v>
          </cell>
          <cell r="BJ82">
            <v>0</v>
          </cell>
          <cell r="BK82">
            <v>0</v>
          </cell>
          <cell r="BL82">
            <v>400000</v>
          </cell>
          <cell r="BM82">
            <v>123981991</v>
          </cell>
          <cell r="BN82">
            <v>0</v>
          </cell>
          <cell r="BO82">
            <v>112900266</v>
          </cell>
          <cell r="BP82">
            <v>7235494</v>
          </cell>
          <cell r="BQ82">
            <v>9479735</v>
          </cell>
          <cell r="BR82">
            <v>0</v>
          </cell>
          <cell r="BS82">
            <v>0</v>
          </cell>
          <cell r="BT82">
            <v>1191535987</v>
          </cell>
          <cell r="BU82">
            <v>59534255</v>
          </cell>
          <cell r="BV82">
            <v>2880000</v>
          </cell>
          <cell r="BW82">
            <v>825000000</v>
          </cell>
          <cell r="BX82">
            <v>45</v>
          </cell>
          <cell r="BY82">
            <v>198000000</v>
          </cell>
          <cell r="BZ82">
            <v>949444426</v>
          </cell>
          <cell r="CA82">
            <v>59785936</v>
          </cell>
          <cell r="CB82">
            <v>4096349</v>
          </cell>
          <cell r="CC82">
            <v>7000000</v>
          </cell>
          <cell r="CD82">
            <v>73510604</v>
          </cell>
          <cell r="CE82">
            <v>1118025383</v>
          </cell>
        </row>
        <row r="84">
          <cell r="AI84" t="str">
            <v>-</v>
          </cell>
        </row>
        <row r="85">
          <cell r="Q85"/>
        </row>
        <row r="86">
          <cell r="Q86"/>
        </row>
        <row r="88">
          <cell r="L88"/>
          <cell r="R88"/>
          <cell r="S88"/>
          <cell r="T88"/>
        </row>
        <row r="89">
          <cell r="L89"/>
          <cell r="R89"/>
          <cell r="T89"/>
        </row>
        <row r="90">
          <cell r="L90"/>
          <cell r="R90"/>
        </row>
        <row r="91">
          <cell r="L91"/>
          <cell r="R91"/>
        </row>
        <row r="92">
          <cell r="L92"/>
          <cell r="M92"/>
          <cell r="R92"/>
          <cell r="U92"/>
        </row>
        <row r="93">
          <cell r="L93"/>
          <cell r="Q93"/>
          <cell r="R93"/>
          <cell r="U93"/>
        </row>
        <row r="94">
          <cell r="L94"/>
          <cell r="Q94"/>
          <cell r="R94"/>
          <cell r="U94"/>
        </row>
        <row r="95">
          <cell r="R95"/>
        </row>
        <row r="96">
          <cell r="L96"/>
          <cell r="R96"/>
        </row>
        <row r="97">
          <cell r="R97"/>
        </row>
        <row r="98">
          <cell r="R98"/>
        </row>
        <row r="99">
          <cell r="R99"/>
        </row>
        <row r="100">
          <cell r="R100"/>
        </row>
        <row r="101">
          <cell r="R101"/>
        </row>
        <row r="102">
          <cell r="Q102"/>
          <cell r="R102"/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5"/>
  <sheetViews>
    <sheetView tabSelected="1" workbookViewId="0">
      <selection activeCell="J2" sqref="J2"/>
    </sheetView>
  </sheetViews>
  <sheetFormatPr defaultColWidth="8" defaultRowHeight="21" customHeight="1" x14ac:dyDescent="0.35"/>
  <cols>
    <col min="1" max="1" width="1.2109375" style="2" customWidth="1"/>
    <col min="2" max="2" width="19.2109375" style="2" customWidth="1"/>
    <col min="3" max="3" width="18.7109375" style="30" customWidth="1"/>
    <col min="4" max="5" width="15.85546875" style="30" customWidth="1"/>
    <col min="6" max="6" width="8.140625" style="31" customWidth="1"/>
    <col min="7" max="7" width="42.7109375" style="30" customWidth="1"/>
    <col min="8" max="8" width="17.35546875" style="30" customWidth="1"/>
    <col min="9" max="9" width="13.85546875" style="30" customWidth="1"/>
    <col min="10" max="10" width="8" style="2"/>
    <col min="11" max="11" width="8.5" style="2" bestFit="1" customWidth="1"/>
    <col min="12" max="16384" width="8" style="2"/>
  </cols>
  <sheetData>
    <row r="1" spans="1:13" ht="29.6" x14ac:dyDescent="0.65">
      <c r="A1" s="1"/>
      <c r="B1" s="58" t="s">
        <v>0</v>
      </c>
      <c r="C1" s="59"/>
      <c r="D1" s="59"/>
      <c r="E1" s="59"/>
      <c r="F1" s="59"/>
      <c r="G1" s="59"/>
      <c r="H1" s="59"/>
      <c r="I1" s="60"/>
      <c r="M1" s="3" t="s">
        <v>1</v>
      </c>
    </row>
    <row r="2" spans="1:13" ht="29.6" x14ac:dyDescent="0.35">
      <c r="A2" s="1"/>
      <c r="B2" s="61" t="s">
        <v>2</v>
      </c>
      <c r="C2" s="62"/>
      <c r="D2" s="62"/>
      <c r="E2" s="62"/>
      <c r="F2" s="62"/>
      <c r="G2" s="62"/>
      <c r="H2" s="62"/>
      <c r="I2" s="63"/>
    </row>
    <row r="3" spans="1:13" ht="22.3" x14ac:dyDescent="0.5">
      <c r="A3" s="1"/>
      <c r="B3" s="64" t="str">
        <f>M1</f>
        <v>THÁNG 10/2025</v>
      </c>
      <c r="C3" s="65"/>
      <c r="D3" s="65"/>
      <c r="E3" s="65"/>
      <c r="F3" s="65"/>
      <c r="G3" s="65"/>
      <c r="H3" s="65"/>
      <c r="I3" s="66"/>
    </row>
    <row r="4" spans="1:13" ht="29.6" x14ac:dyDescent="0.35">
      <c r="A4" s="1"/>
      <c r="B4" s="4"/>
      <c r="C4" s="5"/>
      <c r="D4" s="5"/>
      <c r="E4" s="5"/>
      <c r="F4" s="5"/>
      <c r="G4" s="5"/>
      <c r="H4" s="5"/>
      <c r="I4" s="6"/>
    </row>
    <row r="5" spans="1:13" ht="22.75" x14ac:dyDescent="0.35">
      <c r="B5" s="7" t="s">
        <v>3</v>
      </c>
      <c r="C5" s="54" t="s">
        <v>46</v>
      </c>
      <c r="D5" s="55"/>
      <c r="E5" s="56"/>
      <c r="F5" s="57" t="s">
        <v>4</v>
      </c>
      <c r="G5" s="51"/>
      <c r="H5" s="57" t="s">
        <v>48</v>
      </c>
      <c r="I5" s="51"/>
    </row>
    <row r="6" spans="1:13" ht="22.75" x14ac:dyDescent="0.35">
      <c r="B6" s="8" t="s">
        <v>5</v>
      </c>
      <c r="C6" s="54" t="s">
        <v>47</v>
      </c>
      <c r="D6" s="55"/>
      <c r="E6" s="56"/>
      <c r="F6" s="67"/>
      <c r="G6" s="67"/>
      <c r="H6" s="9"/>
      <c r="I6" s="10"/>
    </row>
    <row r="7" spans="1:13" ht="22.75" x14ac:dyDescent="0.35">
      <c r="B7" s="8" t="s">
        <v>6</v>
      </c>
      <c r="C7" s="68">
        <v>45667</v>
      </c>
      <c r="D7" s="55"/>
      <c r="E7" s="56"/>
      <c r="F7" s="57" t="s">
        <v>7</v>
      </c>
      <c r="G7" s="51"/>
      <c r="H7" s="11">
        <v>8000000</v>
      </c>
      <c r="I7" s="10" t="s">
        <v>8</v>
      </c>
    </row>
    <row r="8" spans="1:13" ht="22.75" x14ac:dyDescent="0.35">
      <c r="B8" s="12" t="s">
        <v>9</v>
      </c>
      <c r="C8" s="54">
        <v>6530734238</v>
      </c>
      <c r="D8" s="55"/>
      <c r="E8" s="56"/>
      <c r="F8" s="57" t="s">
        <v>10</v>
      </c>
      <c r="G8" s="51"/>
      <c r="H8" s="11">
        <v>10000000</v>
      </c>
      <c r="I8" s="10" t="s">
        <v>8</v>
      </c>
    </row>
    <row r="9" spans="1:13" ht="22.3" x14ac:dyDescent="0.35">
      <c r="B9" s="38" t="s">
        <v>11</v>
      </c>
      <c r="C9" s="39"/>
      <c r="D9" s="39"/>
      <c r="E9" s="39"/>
      <c r="F9" s="39"/>
      <c r="G9" s="39"/>
      <c r="H9" s="39"/>
      <c r="I9" s="41"/>
    </row>
    <row r="10" spans="1:13" ht="22.75" x14ac:dyDescent="0.55000000000000004">
      <c r="B10" s="48" t="str">
        <f>'[1]PL NEW'!B7:C7</f>
        <v>Ngày công làm việc</v>
      </c>
      <c r="C10" s="49"/>
      <c r="D10" s="13">
        <v>25</v>
      </c>
      <c r="E10" s="14">
        <v>7692308</v>
      </c>
      <c r="F10" s="15" t="s">
        <v>8</v>
      </c>
      <c r="G10" s="16" t="s">
        <v>12</v>
      </c>
      <c r="H10" s="14">
        <f>IFERROR(VLOOKUP($C$5,'[2]Salary  OCT'!$B$5:$CE$82,53,0),0)</f>
        <v>0</v>
      </c>
      <c r="I10" s="17" t="s">
        <v>8</v>
      </c>
    </row>
    <row r="11" spans="1:13" ht="22.75" x14ac:dyDescent="0.55000000000000004">
      <c r="B11" s="48" t="str">
        <f>'[1]PL NEW'!B8:C8</f>
        <v>Ngày lễ</v>
      </c>
      <c r="C11" s="49"/>
      <c r="D11" s="13"/>
      <c r="E11" s="14">
        <f>IFERROR(VLOOKUP($C$5,'[2]Salary  OCT'!$B$5:$CE$182,43,0),0)</f>
        <v>0</v>
      </c>
      <c r="F11" s="15" t="s">
        <v>8</v>
      </c>
      <c r="G11" s="16" t="s">
        <v>13</v>
      </c>
      <c r="H11" s="14">
        <f>IFERROR(VLOOKUP($C$5,'[2]Salary  OCT'!$B$5:$CE$82,54,0),0)</f>
        <v>0</v>
      </c>
      <c r="I11" s="17" t="s">
        <v>8</v>
      </c>
    </row>
    <row r="12" spans="1:13" ht="22.75" x14ac:dyDescent="0.55000000000000004">
      <c r="B12" s="52" t="s">
        <v>14</v>
      </c>
      <c r="C12" s="53"/>
      <c r="D12" s="13">
        <f>IFERROR(VLOOKUP($C$5,'[2]Salary  OCT'!$B$5:$CE$182,22,0),0)</f>
        <v>0</v>
      </c>
      <c r="E12" s="14">
        <f>IFERROR(VLOOKUP($C$5,'[2]Salary  OCT'!$B$5:$CE$182,44,0),0)</f>
        <v>0</v>
      </c>
      <c r="F12" s="15" t="s">
        <v>8</v>
      </c>
      <c r="G12" s="16" t="s">
        <v>15</v>
      </c>
      <c r="H12" s="14">
        <f>IFERROR(VLOOKUP($C$5,'[2]Salary  OCT'!$B$5:$CE$82,56,0),0)</f>
        <v>0</v>
      </c>
      <c r="I12" s="17" t="s">
        <v>8</v>
      </c>
    </row>
    <row r="13" spans="1:13" ht="22.75" x14ac:dyDescent="0.55000000000000004">
      <c r="B13" s="48" t="s">
        <v>16</v>
      </c>
      <c r="C13" s="49"/>
      <c r="D13" s="13">
        <v>2</v>
      </c>
      <c r="E13" s="14">
        <v>115385</v>
      </c>
      <c r="F13" s="15" t="s">
        <v>8</v>
      </c>
      <c r="G13" s="16" t="s">
        <v>17</v>
      </c>
      <c r="H13" s="14">
        <v>480769</v>
      </c>
      <c r="I13" s="17" t="s">
        <v>8</v>
      </c>
    </row>
    <row r="14" spans="1:13" ht="22.75" x14ac:dyDescent="0.55000000000000004">
      <c r="B14" s="48" t="s">
        <v>18</v>
      </c>
      <c r="C14" s="49"/>
      <c r="D14" s="13">
        <f>IFERROR(VLOOKUP($C$5,'[2]Salary  OCT'!$B$5:$CE$182,24,0),0)</f>
        <v>0</v>
      </c>
      <c r="E14" s="14">
        <f>IFERROR(VLOOKUP($C$5,'[2]Salary  OCT'!$B$5:$CE$182,46,0),0)</f>
        <v>0</v>
      </c>
      <c r="F14" s="15" t="s">
        <v>8</v>
      </c>
      <c r="G14" s="16" t="s">
        <v>19</v>
      </c>
      <c r="H14" s="14">
        <v>961538</v>
      </c>
      <c r="I14" s="17" t="s">
        <v>8</v>
      </c>
    </row>
    <row r="15" spans="1:13" ht="22.75" x14ac:dyDescent="0.55000000000000004">
      <c r="B15" s="48" t="s">
        <v>20</v>
      </c>
      <c r="C15" s="49"/>
      <c r="D15" s="13">
        <f>IFERROR(VLOOKUP($C$5,'[2]Salary  OCT'!$B$5:$CE$182,25,0),0)</f>
        <v>0</v>
      </c>
      <c r="E15" s="14">
        <f>IFERROR(VLOOKUP($C$5,'[2]Salary  OCT'!$B$5:$CE$182,47,0),0)</f>
        <v>0</v>
      </c>
      <c r="F15" s="15" t="s">
        <v>8</v>
      </c>
      <c r="G15" s="16" t="s">
        <v>21</v>
      </c>
      <c r="H15" s="14">
        <v>480769</v>
      </c>
      <c r="I15" s="17" t="s">
        <v>8</v>
      </c>
    </row>
    <row r="16" spans="1:13" ht="22.75" x14ac:dyDescent="0.55000000000000004">
      <c r="B16" s="48" t="str">
        <f>'[1]PL NEW'!B16</f>
        <v>Chuyên cần</v>
      </c>
      <c r="C16" s="49"/>
      <c r="D16" s="13">
        <f>IFERROR(VLOOKUP($C$5,'[2]Salary  OCT'!$B$5:$CE$182,26,0),0)</f>
        <v>0</v>
      </c>
      <c r="E16" s="14">
        <f>IFERROR(VLOOKUP($C$5,'[2]Salary  OCT'!$B$5:$CE$182,48,0),0)</f>
        <v>0</v>
      </c>
      <c r="F16" s="15" t="s">
        <v>8</v>
      </c>
      <c r="G16" s="16" t="s">
        <v>22</v>
      </c>
      <c r="H16" s="14">
        <f>IFERROR(VLOOKUP($C$5,'[2]Salary  OCT'!$B$5:$CE$182,66,0),0)</f>
        <v>0</v>
      </c>
      <c r="I16" s="17" t="s">
        <v>8</v>
      </c>
    </row>
    <row r="17" spans="2:9" ht="22.75" x14ac:dyDescent="0.55000000000000004">
      <c r="B17" s="48" t="str">
        <f>'[1]PL NEW'!B17</f>
        <v>Bù lương</v>
      </c>
      <c r="C17" s="49"/>
      <c r="D17" s="13">
        <f>IFERROR(VLOOKUP($C$5,'[2]Salary  OCT'!$B$5:$CE$182,27,0),0)</f>
        <v>0</v>
      </c>
      <c r="E17" s="14">
        <f>IFERROR(VLOOKUP($C$5,'[2]Salary  OCT'!$B$5:$CE$182,49,0),0)</f>
        <v>0</v>
      </c>
      <c r="F17" s="15" t="s">
        <v>8</v>
      </c>
      <c r="G17" s="16" t="s">
        <v>23</v>
      </c>
      <c r="H17" s="14">
        <f>IFERROR(VLOOKUP($C$5,'[2]Salary  OCT'!$B$5:$CE$182,67,0),0)</f>
        <v>0</v>
      </c>
      <c r="I17" s="17" t="s">
        <v>8</v>
      </c>
    </row>
    <row r="18" spans="2:9" ht="22.75" x14ac:dyDescent="0.55000000000000004">
      <c r="B18" s="48" t="s">
        <v>24</v>
      </c>
      <c r="C18" s="49"/>
      <c r="D18" s="13">
        <f>IFERROR(VLOOKUP($C$5,'[2]Salary  OCT'!$B$5:$CE$182,28,0),0)</f>
        <v>0</v>
      </c>
      <c r="E18" s="14">
        <f>IFERROR(VLOOKUP($C$5,'[2]Salary  OCT'!$B$5:$CE$182,50,0),0)</f>
        <v>0</v>
      </c>
      <c r="F18" s="15" t="s">
        <v>8</v>
      </c>
      <c r="G18" s="16" t="s">
        <v>25</v>
      </c>
      <c r="H18" s="14">
        <f>IFERROR(VLOOKUP($C$5,'[2]Salary  OCT'!$B$5:$CE$182,68,0),0)</f>
        <v>0</v>
      </c>
      <c r="I18" s="17" t="s">
        <v>8</v>
      </c>
    </row>
    <row r="19" spans="2:9" ht="22.75" x14ac:dyDescent="0.55000000000000004">
      <c r="B19" s="48" t="s">
        <v>26</v>
      </c>
      <c r="C19" s="49"/>
      <c r="D19" s="13">
        <f>IFERROR(VLOOKUP($C$5,'[2]Salary  OCT'!$B$5:$CE$182,31,0),0)</f>
        <v>0</v>
      </c>
      <c r="E19" s="14">
        <f>IFERROR(VLOOKUP($C$5,'[2]Salary  OCT'!$B$5:$CE$182,51,0),0)</f>
        <v>0</v>
      </c>
      <c r="F19" s="15" t="s">
        <v>8</v>
      </c>
      <c r="G19" s="16" t="s">
        <v>27</v>
      </c>
      <c r="H19" s="14">
        <f>IFERROR(VLOOKUP($C$5,'[2]Salary  OCT'!$B$5:$CE$182,69,0),0)</f>
        <v>0</v>
      </c>
      <c r="I19" s="17" t="s">
        <v>8</v>
      </c>
    </row>
    <row r="20" spans="2:9" ht="22.75" x14ac:dyDescent="0.55000000000000004">
      <c r="B20" s="50" t="s">
        <v>28</v>
      </c>
      <c r="C20" s="51"/>
      <c r="D20" s="13">
        <v>2</v>
      </c>
      <c r="E20" s="14">
        <f>IFERROR(VLOOKUP($C$5,'[2]Salary  OCT'!$B$5:$CE$182,58,0),0)</f>
        <v>0</v>
      </c>
      <c r="F20" s="15" t="s">
        <v>8</v>
      </c>
      <c r="G20" s="16" t="s">
        <v>29</v>
      </c>
      <c r="H20" s="14">
        <f>IFERROR(VLOOKUP($C$5,'[2]Salary  OCT'!$B$5:$CE$182,69,0),0)</f>
        <v>0</v>
      </c>
      <c r="I20" s="17" t="s">
        <v>8</v>
      </c>
    </row>
    <row r="21" spans="2:9" ht="22.75" x14ac:dyDescent="0.55000000000000004">
      <c r="B21" s="50" t="s">
        <v>30</v>
      </c>
      <c r="C21" s="51"/>
      <c r="D21" s="13">
        <v>1</v>
      </c>
      <c r="E21" s="14"/>
      <c r="F21" s="15" t="s">
        <v>8</v>
      </c>
      <c r="G21" s="19" t="s">
        <v>31</v>
      </c>
      <c r="H21" s="14">
        <f>IFERROR(VLOOKUP($C$5,'[2]Salary  OCT'!$B$5:$CE$182,69,0),0)</f>
        <v>0</v>
      </c>
      <c r="I21" s="17" t="s">
        <v>8</v>
      </c>
    </row>
    <row r="22" spans="2:9" ht="22.75" x14ac:dyDescent="0.55000000000000004">
      <c r="B22" s="50" t="s">
        <v>32</v>
      </c>
      <c r="C22" s="51"/>
      <c r="D22" s="18"/>
      <c r="E22" s="14"/>
      <c r="F22" s="15" t="s">
        <v>8</v>
      </c>
      <c r="G22" s="19" t="s">
        <v>33</v>
      </c>
      <c r="H22" s="14">
        <f>IFERROR(VLOOKUP($C$5,'[2]Salary  OCT'!$B$5:$CE$182,69,0),0)</f>
        <v>0</v>
      </c>
      <c r="I22" s="17" t="s">
        <v>8</v>
      </c>
    </row>
    <row r="23" spans="2:9" ht="22.75" x14ac:dyDescent="0.35">
      <c r="B23" s="32" t="s">
        <v>34</v>
      </c>
      <c r="C23" s="33"/>
      <c r="D23" s="33"/>
      <c r="E23" s="20">
        <f>+SUM(E10:E21)+SUM(H10:H21)</f>
        <v>9730769</v>
      </c>
      <c r="F23" s="21" t="s">
        <v>8</v>
      </c>
      <c r="G23" s="9"/>
      <c r="H23" s="9"/>
      <c r="I23" s="22"/>
    </row>
    <row r="24" spans="2:9" ht="22.75" x14ac:dyDescent="0.5">
      <c r="B24" s="34" t="s">
        <v>35</v>
      </c>
      <c r="C24" s="35"/>
      <c r="D24" s="23" t="s">
        <v>36</v>
      </c>
      <c r="E24" s="24">
        <f>IFERROR(VLOOKUP($C$5,'[2]Salary  OCT'!$B$5:$CE$178,72,0),0)</f>
        <v>0</v>
      </c>
      <c r="F24" s="15" t="s">
        <v>8</v>
      </c>
      <c r="G24" s="9" t="s">
        <v>37</v>
      </c>
      <c r="H24" s="9"/>
      <c r="I24" s="17" t="s">
        <v>8</v>
      </c>
    </row>
    <row r="25" spans="2:9" ht="22.75" x14ac:dyDescent="0.5">
      <c r="B25" s="32"/>
      <c r="C25" s="33"/>
      <c r="D25" s="23" t="s">
        <v>38</v>
      </c>
      <c r="E25" s="24">
        <v>40000</v>
      </c>
      <c r="F25" s="15" t="s">
        <v>8</v>
      </c>
      <c r="G25" s="9" t="s">
        <v>39</v>
      </c>
      <c r="H25" s="9"/>
      <c r="I25" s="17" t="s">
        <v>8</v>
      </c>
    </row>
    <row r="26" spans="2:9" ht="22.75" x14ac:dyDescent="0.5">
      <c r="B26" s="32"/>
      <c r="C26" s="33"/>
      <c r="D26" s="23" t="s">
        <v>40</v>
      </c>
      <c r="E26" s="24">
        <f>IFERROR(VLOOKUP($C$5,'[2]Salary  OCT'!$B$5:$CE$178,79,0),0)</f>
        <v>0</v>
      </c>
      <c r="F26" s="15" t="s">
        <v>8</v>
      </c>
      <c r="G26" s="9" t="s">
        <v>41</v>
      </c>
      <c r="H26" s="9">
        <v>840000</v>
      </c>
      <c r="I26" s="17" t="s">
        <v>8</v>
      </c>
    </row>
    <row r="27" spans="2:9" ht="22.75" x14ac:dyDescent="0.5">
      <c r="B27" s="32"/>
      <c r="C27" s="33"/>
      <c r="D27" s="23" t="s">
        <v>42</v>
      </c>
      <c r="E27" s="24">
        <f>IFERROR(VLOOKUP($C$5,'[2]Salary  OCT'!$B$5:$CE$178,80,0),0)</f>
        <v>0</v>
      </c>
      <c r="F27" s="15" t="s">
        <v>8</v>
      </c>
      <c r="G27" s="9"/>
      <c r="H27" s="9"/>
      <c r="I27" s="22"/>
    </row>
    <row r="28" spans="2:9" ht="22.75" x14ac:dyDescent="0.35">
      <c r="B28" s="36" t="s">
        <v>43</v>
      </c>
      <c r="C28" s="37"/>
      <c r="D28" s="37"/>
      <c r="E28" s="25">
        <f>+SUM(E24:E27)+SUM(H24:H27)</f>
        <v>880000</v>
      </c>
      <c r="F28" s="15" t="s">
        <v>8</v>
      </c>
      <c r="G28" s="26"/>
      <c r="H28" s="26"/>
      <c r="I28" s="27"/>
    </row>
    <row r="29" spans="2:9" ht="22.3" x14ac:dyDescent="0.35">
      <c r="B29" s="38" t="s">
        <v>44</v>
      </c>
      <c r="C29" s="39"/>
      <c r="D29" s="39"/>
      <c r="E29" s="28">
        <f>+ROUND(E23-E28,0)</f>
        <v>8850769</v>
      </c>
      <c r="F29" s="29" t="s">
        <v>8</v>
      </c>
      <c r="G29" s="26"/>
      <c r="H29" s="26"/>
      <c r="I29" s="27"/>
    </row>
    <row r="30" spans="2:9" ht="14.15" x14ac:dyDescent="0.35">
      <c r="B30" s="40" t="s">
        <v>45</v>
      </c>
      <c r="C30" s="39"/>
      <c r="D30" s="39"/>
      <c r="E30" s="39"/>
      <c r="F30" s="39"/>
      <c r="G30" s="39"/>
      <c r="H30" s="39"/>
      <c r="I30" s="41"/>
    </row>
    <row r="31" spans="2:9" ht="14.15" x14ac:dyDescent="0.35">
      <c r="B31" s="42"/>
      <c r="C31" s="43"/>
      <c r="D31" s="43"/>
      <c r="E31" s="43"/>
      <c r="F31" s="43"/>
      <c r="G31" s="43"/>
      <c r="H31" s="43"/>
      <c r="I31" s="44"/>
    </row>
    <row r="32" spans="2:9" ht="14.15" x14ac:dyDescent="0.35">
      <c r="B32" s="42"/>
      <c r="C32" s="43"/>
      <c r="D32" s="43"/>
      <c r="E32" s="43"/>
      <c r="F32" s="43"/>
      <c r="G32" s="43"/>
      <c r="H32" s="43"/>
      <c r="I32" s="44"/>
    </row>
    <row r="33" spans="2:9" ht="14.15" x14ac:dyDescent="0.35">
      <c r="B33" s="42"/>
      <c r="C33" s="43"/>
      <c r="D33" s="43"/>
      <c r="E33" s="43"/>
      <c r="F33" s="43"/>
      <c r="G33" s="43"/>
      <c r="H33" s="43"/>
      <c r="I33" s="44"/>
    </row>
    <row r="34" spans="2:9" ht="70.5" customHeight="1" thickBot="1" x14ac:dyDescent="0.4">
      <c r="B34" s="45"/>
      <c r="C34" s="46"/>
      <c r="D34" s="46"/>
      <c r="E34" s="46"/>
      <c r="F34" s="46"/>
      <c r="G34" s="46"/>
      <c r="H34" s="46"/>
      <c r="I34" s="47"/>
    </row>
    <row r="35" spans="2:9" ht="14.15" x14ac:dyDescent="0.35"/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29:D29"/>
    <mergeCell ref="B30:I3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2025-12-25T01:25:47Z</dcterms:modified>
</cp:coreProperties>
</file>