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gty\thienphumut\test\thienphumut-hr-backend\temp-peyroll-form\"/>
    </mc:Choice>
  </mc:AlternateContent>
  <xr:revisionPtr revIDLastSave="0" documentId="13_ncr:1_{9D58F3C6-64EB-4550-AD9D-E8BFD36E0072}" xr6:coauthVersionLast="47" xr6:coauthVersionMax="47" xr10:uidLastSave="{00000000-0000-0000-0000-000000000000}"/>
  <bookViews>
    <workbookView xWindow="-19310" yWindow="-110" windowWidth="19420" windowHeight="10300" tabRatio="541" xr2:uid="{D457F286-B932-415A-9CBA-56FD1E6E92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<sst xmlns="http://schemas.openxmlformats.org/spreadsheetml/2006/main" count="67" uniqueCount="66">
  <si>
    <t>Mã NV</t>
  </si>
  <si>
    <t>Tháng/năm</t>
  </si>
  <si>
    <t>Họ và tên</t>
  </si>
  <si>
    <t>Ngày vào làm</t>
  </si>
  <si>
    <t>Bộ phận</t>
  </si>
  <si>
    <t>Lương cơ bản</t>
  </si>
  <si>
    <t>Số tài khoản</t>
  </si>
  <si>
    <t>Tổng lương theo HĐLĐ</t>
  </si>
  <si>
    <t>Ngày công làm việc</t>
  </si>
  <si>
    <t>Tăng ca ngày thường (150%)</t>
  </si>
  <si>
    <t>Trợ cấp xăng xe</t>
  </si>
  <si>
    <t xml:space="preserve">Trợ cấp nhà ở </t>
  </si>
  <si>
    <t>Trợ cấp điện thoại</t>
  </si>
  <si>
    <t>Tổng cộng lương</t>
  </si>
  <si>
    <t>Khấu trừ công đoàn</t>
  </si>
  <si>
    <t>BH: XH-YT-TN</t>
  </si>
  <si>
    <t>Tổng các khoản khấu trừ</t>
  </si>
  <si>
    <t xml:space="preserve">Thực lãnh </t>
  </si>
  <si>
    <t>Thành tiền</t>
  </si>
  <si>
    <t>Số ngày lễ</t>
  </si>
  <si>
    <t>Tiền lễ</t>
  </si>
  <si>
    <t>Số ngày công nghỉ phép/kết hôn/TNLĐ</t>
  </si>
  <si>
    <t>Tiền ngày công nghỉ phép/kết hôn/TNLĐ</t>
  </si>
  <si>
    <t>Phụ cấp trách nhiệm</t>
  </si>
  <si>
    <t>Phụ cấp độc hại</t>
  </si>
  <si>
    <t>Phụ cấp thâm niên</t>
  </si>
  <si>
    <t>Số ngày Tăng ca ngày thường 200%</t>
  </si>
  <si>
    <t>Tiền tăng ca ngày thường 200%</t>
  </si>
  <si>
    <t>Số ngày tăng ca ngày thường 300%</t>
  </si>
  <si>
    <t>Tiền tăng ca ngày thường 300%</t>
  </si>
  <si>
    <t>Số ngày chuyên cần</t>
  </si>
  <si>
    <t>Tiền chuyên cần</t>
  </si>
  <si>
    <t>Số ngày bù lương</t>
  </si>
  <si>
    <t>Tiền bù lương</t>
  </si>
  <si>
    <t>Tiền thưởng sáng kiến</t>
  </si>
  <si>
    <t>Số ngày hỗ trợ đám hiếu/ hỷ</t>
  </si>
  <si>
    <t>Tiền hỗ trợ đám hiếu/ hỷ</t>
  </si>
  <si>
    <t>Số ngày phép năm đã sử dụng</t>
  </si>
  <si>
    <t xml:space="preserve">Số ngày phép năm còn lại </t>
  </si>
  <si>
    <t>Tiền thưởng tháng 13</t>
  </si>
  <si>
    <t>Trợ cấp đội trưởng/ đội phó PCCC</t>
  </si>
  <si>
    <t>Trợ cấp sinh hoạt</t>
  </si>
  <si>
    <t>Trợ cấp nuôi con nhỏ dưới 6 tuổi</t>
  </si>
  <si>
    <t>Trợ cấp cho NV nữ</t>
  </si>
  <si>
    <t>Trợ cấp ban ATVSV</t>
  </si>
  <si>
    <t>Trợ cấp tiền cơm</t>
  </si>
  <si>
    <t>Trợ cấp ca đêm</t>
  </si>
  <si>
    <t>Bảo hiểm</t>
  </si>
  <si>
    <t>Thuế TNCN</t>
  </si>
  <si>
    <t>Tạm ứng</t>
  </si>
  <si>
    <t>Nghỉ trước thời hạn giấy phép</t>
  </si>
  <si>
    <t>Nghỉ ngang</t>
  </si>
  <si>
    <t>Mức lương BHXH</t>
  </si>
  <si>
    <t>Truy thu BHYT</t>
  </si>
  <si>
    <t>Điểm PMS</t>
  </si>
  <si>
    <t>Xếp loại PMS</t>
  </si>
  <si>
    <t>Hệ số lương PMS</t>
  </si>
  <si>
    <t>Lương hiệu suất PMS</t>
  </si>
  <si>
    <t>XẺ HÀNG</t>
  </si>
  <si>
    <t>PHAN NGUYỆN VỌNG</t>
  </si>
  <si>
    <t>19/11/2025</t>
  </si>
  <si>
    <t>8885844892</t>
  </si>
  <si>
    <t>Tiền phép năm</t>
  </si>
  <si>
    <t>01115</t>
  </si>
  <si>
    <t>GIỎI</t>
  </si>
  <si>
    <t>THÁNG 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</si>
</sst>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VND]\ #,##0"/>
    <numFmt numFmtId="165" formatCode="_-* #,##0\ _₫_-;\-* #,##0\ _₫_-;_-* &quot;-&quot;??\ _₫_-;_-@_-"/>
    <numFmt numFmtId="166" formatCode="_-* #,##0.0\ _₫_-;\-* #,##0.0\ _₫_-;_-* &quot;-&quot;??\ _₫_-;_-@_-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sz val="11"/>
      <color rgb="FF3913DD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7">
    <xf numFmtId="0" fontId="0" fillId="0" borderId="0" xfId="0"/>
    <xf numFmtId="0" fontId="4" fillId="0" borderId="0" xfId="0" applyFont="1" applyAlignment="1">
      <alignment horizontal="left"/>
    </xf>
    <xf numFmtId="165" fontId="4" fillId="0" borderId="0" xfId="2" applyNumberFormat="1" applyFont="1" applyAlignment="1">
      <alignment horizontal="left"/>
    </xf>
    <xf numFmtId="43" fontId="4" fillId="0" borderId="0" xfId="2" applyFont="1" applyAlignment="1"/>
    <xf numFmtId="43" fontId="4" fillId="0" borderId="0" xfId="2" applyFont="1" applyAlignment="1">
      <alignment horizontal="left"/>
    </xf>
    <xf numFmtId="43" fontId="4" fillId="0" borderId="0" xfId="2" applyFont="1"/>
    <xf numFmtId="0" fontId="4" fillId="0" borderId="0" xfId="0" applyFont="1"/>
    <xf numFmtId="165" fontId="4" fillId="0" borderId="0" xfId="0" applyNumberFormat="1" applyFont="1"/>
    <xf numFmtId="49" fontId="4" fillId="0" borderId="0" xfId="0" applyNumberFormat="1" applyFont="1" applyAlignment="1">
      <alignment horizontal="left"/>
    </xf>
    <xf numFmtId="3" fontId="4" fillId="0" borderId="0" xfId="0" applyNumberFormat="1" applyFont="1"/>
    <xf numFmtId="165" fontId="4" fillId="0" borderId="0" xfId="2" applyNumberFormat="1" applyFont="1" applyAlignment="1"/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/>
    <xf numFmtId="165" fontId="7" fillId="0" borderId="1" xfId="2" applyNumberFormat="1" applyFont="1" applyBorder="1"/>
    <xf numFmtId="165" fontId="7" fillId="0" borderId="1" xfId="2" applyNumberFormat="1" applyFont="1" applyBorder="1" applyAlignment="1">
      <alignment horizontal="left"/>
    </xf>
    <xf numFmtId="166" fontId="5" fillId="0" borderId="1" xfId="2" applyNumberFormat="1" applyFont="1" applyFill="1" applyBorder="1" applyAlignment="1">
      <alignment horizontal="center" wrapText="1"/>
    </xf>
    <xf numFmtId="9" fontId="5" fillId="0" borderId="1" xfId="3" applyFont="1" applyFill="1" applyBorder="1" applyAlignment="1">
      <alignment horizontal="center" wrapText="1"/>
    </xf>
    <xf numFmtId="0" fontId="7" fillId="2" borderId="1" xfId="0" applyFont="1" applyFill="1" applyBorder="1"/>
    <xf numFmtId="0" fontId="6" fillId="2" borderId="1" xfId="0" applyFont="1" applyFill="1" applyBorder="1" applyAlignment="1">
      <alignment horizontal="center" wrapText="1"/>
    </xf>
    <xf numFmtId="0" fontId="5" fillId="0" borderId="1" xfId="0" quotePrefix="1" applyFont="1" applyBorder="1" applyAlignment="1">
      <alignment horizontal="center" wrapText="1"/>
    </xf>
    <xf numFmtId="0" fontId="5" fillId="3" borderId="1" xfId="0" quotePrefix="1" applyFont="1" applyFill="1" applyBorder="1" applyAlignment="1">
      <alignment shrinkToFit="1"/>
    </xf>
    <xf numFmtId="49" fontId="5" fillId="2" borderId="1" xfId="0" quotePrefix="1" applyNumberFormat="1" applyFont="1" applyFill="1" applyBorder="1"/>
    <xf numFmtId="49" fontId="4" fillId="0" borderId="0" xfId="0" applyNumberFormat="1" applyFont="1"/>
    <xf numFmtId="164" fontId="4" fillId="0" borderId="0" xfId="0" applyNumberFormat="1" applyFont="1"/>
    <xf numFmtId="0" fontId="3" fillId="4" borderId="1" xfId="0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vertical="center" wrapText="1"/>
    </xf>
    <xf numFmtId="164" fontId="3" fillId="5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</cellXfs>
  <cellStyles count="4">
    <cellStyle name="Comma" xfId="2" builtinId="3"/>
    <cellStyle name="Normal" xfId="0" builtinId="0"/>
    <cellStyle name="Normal 2 2" xfId="1" xr:uid="{D60F6C44-EA07-45DE-987D-A8EB25AA742E}"/>
    <cellStyle name="Per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4F548-7A7C-4771-AC1E-5030EC08539D}">
  <dimension ref="A1:BG4"/>
  <sheetViews>
    <sheetView tabSelected="1"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11" sqref="E11"/>
    </sheetView>
  </sheetViews>
  <sheetFormatPr defaultColWidth="9.15234375" defaultRowHeight="12.9" x14ac:dyDescent="0.35"/>
  <cols>
    <col min="1" max="1" width="32.15234375" style="6" customWidth="1"/>
    <col min="2" max="2" width="15.69140625" style="28" customWidth="1"/>
    <col min="3" max="3" width="9.15234375" style="6"/>
    <col min="4" max="4" width="12.3046875" style="6" customWidth="1"/>
    <col min="5" max="5" width="16.84375" style="29" bestFit="1" customWidth="1"/>
    <col min="6" max="6" width="12.3046875" style="6" customWidth="1"/>
    <col min="7" max="7" width="20.3046875" style="9" customWidth="1"/>
    <col min="8" max="8" width="9.3828125" style="6" bestFit="1" customWidth="1"/>
    <col min="9" max="9" width="16.84375" style="9" bestFit="1" customWidth="1"/>
    <col min="10" max="10" width="10" style="6" customWidth="1"/>
    <col min="11" max="13" width="15.3828125" style="9" bestFit="1" customWidth="1"/>
    <col min="14" max="14" width="16.84375" style="9" customWidth="1"/>
    <col min="15" max="15" width="16.84375" style="9" bestFit="1" customWidth="1"/>
    <col min="16" max="16" width="18.3046875" style="29" customWidth="1"/>
    <col min="17" max="17" width="15.3828125" style="29" bestFit="1" customWidth="1"/>
    <col min="18" max="18" width="21.3046875" style="29" customWidth="1"/>
    <col min="19" max="19" width="16.84375" style="29" bestFit="1" customWidth="1"/>
    <col min="20" max="20" width="9.3828125" style="6" bestFit="1" customWidth="1"/>
    <col min="21" max="21" width="12.53515625" style="6" customWidth="1"/>
    <col min="22" max="22" width="14.53515625" style="6" customWidth="1"/>
    <col min="23" max="23" width="14.15234375" style="6" customWidth="1"/>
    <col min="24" max="24" width="15.3046875" style="6" customWidth="1"/>
    <col min="25" max="25" width="13.84375" style="6" customWidth="1"/>
    <col min="26" max="26" width="11.84375" style="6" customWidth="1"/>
    <col min="27" max="27" width="9.3828125" style="6" bestFit="1" customWidth="1"/>
    <col min="28" max="28" width="13.84375" style="6" customWidth="1"/>
    <col min="29" max="29" width="9.3828125" style="6" bestFit="1" customWidth="1"/>
    <col min="30" max="30" width="14" style="6" customWidth="1"/>
    <col min="31" max="31" width="9.3046875" style="6" bestFit="1" customWidth="1"/>
    <col min="32" max="32" width="14.15234375" style="6" customWidth="1"/>
    <col min="33" max="33" width="9.3046875" style="6" bestFit="1" customWidth="1"/>
    <col min="34" max="34" width="15.84375" style="6" customWidth="1"/>
    <col min="35" max="35" width="14.15234375" style="6" customWidth="1"/>
    <col min="36" max="36" width="9.3046875" style="6" bestFit="1" customWidth="1"/>
    <col min="37" max="37" width="11.53515625" style="6" customWidth="1"/>
    <col min="38" max="38" width="9.3828125" style="6" bestFit="1" customWidth="1"/>
    <col min="39" max="39" width="16.3828125" style="6" customWidth="1"/>
    <col min="40" max="40" width="9.3828125" style="6" bestFit="1" customWidth="1"/>
    <col min="41" max="41" width="18.84375" style="6" customWidth="1"/>
    <col min="42" max="42" width="12.15234375" style="6" customWidth="1"/>
    <col min="43" max="43" width="15.53515625" style="6" customWidth="1"/>
    <col min="44" max="45" width="14.53515625" style="6" customWidth="1"/>
    <col min="46" max="46" width="11.84375" style="6" customWidth="1"/>
    <col min="47" max="47" width="15.3828125" style="6" customWidth="1"/>
    <col min="48" max="48" width="12.15234375" style="6" customWidth="1"/>
    <col min="49" max="49" width="15.84375" style="6" customWidth="1"/>
    <col min="50" max="50" width="15.3046875" style="6" customWidth="1"/>
    <col min="51" max="51" width="12.3046875" style="6" customWidth="1"/>
    <col min="52" max="52" width="12.69140625" style="6" customWidth="1"/>
    <col min="53" max="53" width="12" style="6" bestFit="1" customWidth="1"/>
    <col min="54" max="54" width="15.3828125" style="6" customWidth="1"/>
    <col min="55" max="55" width="12.84375" style="6" bestFit="1" customWidth="1"/>
    <col min="56" max="56" width="12.3828125" style="6" customWidth="1"/>
    <col min="57" max="57" width="9.3046875" style="6" bestFit="1" customWidth="1"/>
    <col min="58" max="58" width="9.3828125" style="6" bestFit="1" customWidth="1"/>
    <col min="59" max="59" width="21.3828125" style="6" customWidth="1"/>
    <col min="60" max="16384" width="9.15234375" style="6"/>
  </cols>
  <sheetData>
    <row r="1" spans="1:59" x14ac:dyDescent="0.35">
      <c r="A1" s="30" t="s">
        <v>1</v>
      </c>
      <c r="B1" s="31" t="s">
        <v>65</v>
      </c>
      <c r="C1" s="1"/>
      <c r="D1" s="1"/>
      <c r="E1" s="2"/>
      <c r="F1" s="1"/>
      <c r="G1" s="3"/>
      <c r="H1" s="3"/>
      <c r="I1" s="3"/>
      <c r="J1" s="3"/>
      <c r="K1" s="3"/>
      <c r="L1" s="3"/>
      <c r="M1" s="3"/>
      <c r="N1" s="3"/>
      <c r="O1" s="3"/>
      <c r="P1" s="2"/>
      <c r="Q1" s="2"/>
      <c r="R1" s="4"/>
      <c r="S1" s="4"/>
      <c r="T1" s="5"/>
      <c r="U1" s="5"/>
      <c r="X1" s="7"/>
      <c r="Y1" s="7"/>
      <c r="Z1" s="7"/>
      <c r="AA1" s="7"/>
      <c r="AB1" s="7"/>
      <c r="AC1" s="7"/>
      <c r="AD1" s="7"/>
      <c r="AF1" s="7"/>
      <c r="AH1" s="7"/>
      <c r="AL1" s="7"/>
      <c r="AM1" s="7"/>
      <c r="AN1" s="7"/>
      <c r="AO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G1" s="7"/>
    </row>
    <row r="2" spans="1:59" x14ac:dyDescent="0.35">
      <c r="A2" s="1"/>
      <c r="B2" s="8"/>
      <c r="C2" s="1"/>
      <c r="D2" s="1"/>
      <c r="E2" s="9"/>
      <c r="F2" s="1"/>
      <c r="H2" s="9"/>
      <c r="J2" s="9"/>
      <c r="P2" s="9"/>
      <c r="Q2" s="9"/>
      <c r="R2" s="9"/>
      <c r="S2" s="9"/>
      <c r="T2" s="9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</row>
    <row r="3" spans="1:59" s="16" customFormat="1" ht="62.15" x14ac:dyDescent="0.4">
      <c r="A3" s="11" t="s">
        <v>2</v>
      </c>
      <c r="B3" s="12" t="s">
        <v>0</v>
      </c>
      <c r="C3" s="11" t="s">
        <v>4</v>
      </c>
      <c r="D3" s="11" t="s">
        <v>3</v>
      </c>
      <c r="E3" s="13" t="s">
        <v>5</v>
      </c>
      <c r="F3" s="11" t="s">
        <v>6</v>
      </c>
      <c r="G3" s="14" t="s">
        <v>7</v>
      </c>
      <c r="H3" s="15" t="s">
        <v>8</v>
      </c>
      <c r="I3" s="32" t="s">
        <v>18</v>
      </c>
      <c r="J3" s="15" t="s">
        <v>9</v>
      </c>
      <c r="K3" s="32" t="s">
        <v>18</v>
      </c>
      <c r="L3" s="32" t="s">
        <v>10</v>
      </c>
      <c r="M3" s="32" t="s">
        <v>11</v>
      </c>
      <c r="N3" s="32" t="s">
        <v>12</v>
      </c>
      <c r="O3" s="14" t="s">
        <v>13</v>
      </c>
      <c r="P3" s="33" t="s">
        <v>14</v>
      </c>
      <c r="Q3" s="33" t="s">
        <v>15</v>
      </c>
      <c r="R3" s="13" t="s">
        <v>16</v>
      </c>
      <c r="S3" s="13" t="s">
        <v>17</v>
      </c>
      <c r="T3" s="11" t="s">
        <v>19</v>
      </c>
      <c r="U3" s="34" t="s">
        <v>20</v>
      </c>
      <c r="V3" s="11" t="s">
        <v>21</v>
      </c>
      <c r="W3" s="11" t="s">
        <v>22</v>
      </c>
      <c r="X3" s="34" t="s">
        <v>23</v>
      </c>
      <c r="Y3" s="34" t="s">
        <v>24</v>
      </c>
      <c r="Z3" s="34" t="s">
        <v>25</v>
      </c>
      <c r="AA3" s="11" t="s">
        <v>26</v>
      </c>
      <c r="AB3" s="34" t="s">
        <v>27</v>
      </c>
      <c r="AC3" s="11" t="s">
        <v>28</v>
      </c>
      <c r="AD3" s="34" t="s">
        <v>29</v>
      </c>
      <c r="AE3" s="11" t="s">
        <v>30</v>
      </c>
      <c r="AF3" s="34" t="s">
        <v>31</v>
      </c>
      <c r="AG3" s="11" t="s">
        <v>32</v>
      </c>
      <c r="AH3" s="34" t="s">
        <v>33</v>
      </c>
      <c r="AI3" s="11" t="s">
        <v>34</v>
      </c>
      <c r="AJ3" s="11" t="s">
        <v>35</v>
      </c>
      <c r="AK3" s="11" t="s">
        <v>36</v>
      </c>
      <c r="AL3" s="11" t="s">
        <v>37</v>
      </c>
      <c r="AM3" s="34" t="s">
        <v>62</v>
      </c>
      <c r="AN3" s="35" t="s">
        <v>38</v>
      </c>
      <c r="AO3" s="34" t="s">
        <v>39</v>
      </c>
      <c r="AP3" s="11" t="s">
        <v>40</v>
      </c>
      <c r="AQ3" s="34" t="s">
        <v>41</v>
      </c>
      <c r="AR3" s="34" t="s">
        <v>42</v>
      </c>
      <c r="AS3" s="34" t="s">
        <v>43</v>
      </c>
      <c r="AT3" s="34" t="s">
        <v>44</v>
      </c>
      <c r="AU3" s="34" t="s">
        <v>45</v>
      </c>
      <c r="AV3" s="34" t="s">
        <v>46</v>
      </c>
      <c r="AW3" s="36" t="s">
        <v>47</v>
      </c>
      <c r="AX3" s="36" t="s">
        <v>48</v>
      </c>
      <c r="AY3" s="36" t="s">
        <v>49</v>
      </c>
      <c r="AZ3" s="36" t="s">
        <v>50</v>
      </c>
      <c r="BA3" s="36" t="s">
        <v>51</v>
      </c>
      <c r="BB3" s="36" t="s">
        <v>52</v>
      </c>
      <c r="BC3" s="36" t="s">
        <v>53</v>
      </c>
      <c r="BD3" s="11" t="s">
        <v>54</v>
      </c>
      <c r="BE3" s="11" t="s">
        <v>55</v>
      </c>
      <c r="BF3" s="11" t="s">
        <v>56</v>
      </c>
      <c r="BG3" s="34" t="s">
        <v>57</v>
      </c>
    </row>
    <row r="4" spans="1:59" ht="20.25" customHeight="1" x14ac:dyDescent="0.35">
      <c r="A4" s="23" t="s">
        <v>59</v>
      </c>
      <c r="B4" s="27" t="s">
        <v>63</v>
      </c>
      <c r="C4" s="24" t="s">
        <v>58</v>
      </c>
      <c r="D4" s="26" t="s">
        <v>60</v>
      </c>
      <c r="E4" s="17">
        <v>5576000</v>
      </c>
      <c r="F4" s="25" t="s">
        <v>61</v>
      </c>
      <c r="G4" s="17">
        <v>6576000</v>
      </c>
      <c r="H4" s="18">
        <v>23</v>
      </c>
      <c r="I4" s="17">
        <v>9000000</v>
      </c>
      <c r="J4" s="18">
        <v>31.5</v>
      </c>
      <c r="K4" s="17">
        <v>1266663</v>
      </c>
      <c r="L4" s="17">
        <v>360</v>
      </c>
      <c r="M4" s="17">
        <v>7000</v>
      </c>
      <c r="N4" s="17">
        <v>80000</v>
      </c>
      <c r="O4" s="17">
        <v>2393000</v>
      </c>
      <c r="P4" s="17">
        <v>3000</v>
      </c>
      <c r="Q4" s="17">
        <v>50000</v>
      </c>
      <c r="R4" s="17">
        <v>53000</v>
      </c>
      <c r="S4" s="17">
        <v>2393000</v>
      </c>
      <c r="T4" s="18">
        <v>3</v>
      </c>
      <c r="U4" s="17">
        <v>360000</v>
      </c>
      <c r="V4" s="18">
        <v>7</v>
      </c>
      <c r="W4" s="17">
        <v>1200000</v>
      </c>
      <c r="X4" s="17">
        <v>70000</v>
      </c>
      <c r="Y4" s="17">
        <v>80000</v>
      </c>
      <c r="Z4" s="17">
        <v>90000</v>
      </c>
      <c r="AA4" s="18">
        <v>21</v>
      </c>
      <c r="AB4" s="17">
        <v>1125923</v>
      </c>
      <c r="AC4" s="18">
        <v>0</v>
      </c>
      <c r="AD4" s="17">
        <v>0</v>
      </c>
      <c r="AE4" s="18">
        <v>7</v>
      </c>
      <c r="AF4" s="17">
        <v>1200800</v>
      </c>
      <c r="AG4" s="19">
        <v>4</v>
      </c>
      <c r="AH4" s="17">
        <v>899999</v>
      </c>
      <c r="AI4" s="17">
        <v>120000</v>
      </c>
      <c r="AJ4" s="18"/>
      <c r="AK4" s="17"/>
      <c r="AL4" s="18">
        <v>5</v>
      </c>
      <c r="AM4" s="17">
        <v>50000</v>
      </c>
      <c r="AN4" s="18">
        <v>3</v>
      </c>
      <c r="AO4" s="17">
        <v>700000</v>
      </c>
      <c r="AP4" s="18"/>
      <c r="AQ4" s="17">
        <v>0</v>
      </c>
      <c r="AR4" s="17">
        <v>0</v>
      </c>
      <c r="AS4" s="17">
        <v>0</v>
      </c>
      <c r="AT4" s="18"/>
      <c r="AU4" s="17">
        <v>0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7000000</v>
      </c>
      <c r="BC4" s="17">
        <v>0</v>
      </c>
      <c r="BD4" s="21">
        <v>8.8000000000000007</v>
      </c>
      <c r="BE4" s="20" t="s">
        <v>64</v>
      </c>
      <c r="BF4" s="22">
        <v>1.1000000000000001</v>
      </c>
      <c r="BG4" s="17">
        <v>3600000</v>
      </c>
    </row>
  </sheetData>
  <conditionalFormatting sqref="A4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Dank Nyan</dc:creator>
  <cp:lastModifiedBy>Dank Nyan</cp:lastModifiedBy>
  <dcterms:created xsi:type="dcterms:W3CDTF">2025-12-25T01:26:48Z</dcterms:created>
  <dcterms:modified xsi:type="dcterms:W3CDTF">2026-03-03T08:32:45Z</dcterms:modified>
</cp:coreProperties>
</file>